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updateLinks="always" autoCompressPictures="0"/>
  <mc:AlternateContent xmlns:mc="http://schemas.openxmlformats.org/markup-compatibility/2006">
    <mc:Choice Requires="x15">
      <x15ac:absPath xmlns:x15ac="http://schemas.microsoft.com/office/spreadsheetml/2010/11/ac" url="https://mahindraecolecentrale-my.sharepoint.com/personal/se23ucse176_mahindrauniversity_edu_in/Documents/"/>
    </mc:Choice>
  </mc:AlternateContent>
  <xr:revisionPtr revIDLastSave="0" documentId="8_{2054F28F-69F1-42F3-B8F7-D4899BE2F2F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del_comparison" sheetId="12" r:id="rId1"/>
    <sheet name="Cleaned_data" sheetId="3" r:id="rId2"/>
    <sheet name="Dummy_variables" sheetId="5" state="hidden" r:id="rId3"/>
    <sheet name="Simple_regression_footfall" sheetId="7" state="hidden" r:id="rId4"/>
    <sheet name="Simple_regression_marketing" sheetId="6" state="hidden" r:id="rId5"/>
    <sheet name="Simple_regression_avg_discount" sheetId="9" state="hidden" r:id="rId6"/>
    <sheet name="Multiple_regression" sheetId="8" state="hidden" r:id="rId7"/>
  </sheet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2" l="1"/>
  <c r="F3" i="12"/>
  <c r="D2" i="12"/>
  <c r="F5" i="12"/>
  <c r="H5" i="12"/>
  <c r="G5" i="12"/>
  <c r="F4" i="12"/>
  <c r="H4" i="12"/>
  <c r="G4" i="12"/>
  <c r="H3" i="12"/>
  <c r="G3" i="12"/>
  <c r="F2" i="12"/>
  <c r="H2" i="12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2" i="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2" i="3"/>
  <c r="E5" i="12"/>
  <c r="D5" i="12"/>
  <c r="E4" i="12"/>
  <c r="D4" i="12"/>
  <c r="E3" i="12"/>
  <c r="D3" i="12"/>
  <c r="E2" i="12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2" i="5"/>
  <c r="U3" i="5"/>
  <c r="K3" i="8" s="1"/>
  <c r="U4" i="5"/>
  <c r="K4" i="8" s="1"/>
  <c r="U5" i="5"/>
  <c r="K5" i="8" s="1"/>
  <c r="U6" i="5"/>
  <c r="K6" i="8" s="1"/>
  <c r="U7" i="5"/>
  <c r="K7" i="8" s="1"/>
  <c r="U8" i="5"/>
  <c r="K8" i="8" s="1"/>
  <c r="U9" i="5"/>
  <c r="K9" i="8" s="1"/>
  <c r="U10" i="5"/>
  <c r="K10" i="8" s="1"/>
  <c r="U11" i="5"/>
  <c r="K11" i="8" s="1"/>
  <c r="U12" i="5"/>
  <c r="K12" i="8" s="1"/>
  <c r="U13" i="5"/>
  <c r="K13" i="8" s="1"/>
  <c r="U14" i="5"/>
  <c r="K14" i="8" s="1"/>
  <c r="U15" i="5"/>
  <c r="K15" i="8" s="1"/>
  <c r="U16" i="5"/>
  <c r="K16" i="8" s="1"/>
  <c r="U17" i="5"/>
  <c r="K17" i="8" s="1"/>
  <c r="U18" i="5"/>
  <c r="K18" i="8" s="1"/>
  <c r="U19" i="5"/>
  <c r="K19" i="8" s="1"/>
  <c r="U20" i="5"/>
  <c r="K20" i="8" s="1"/>
  <c r="U21" i="5"/>
  <c r="K21" i="8" s="1"/>
  <c r="U22" i="5"/>
  <c r="K22" i="8" s="1"/>
  <c r="U23" i="5"/>
  <c r="K23" i="8" s="1"/>
  <c r="U24" i="5"/>
  <c r="K24" i="8" s="1"/>
  <c r="U25" i="5"/>
  <c r="K25" i="8" s="1"/>
  <c r="U26" i="5"/>
  <c r="K26" i="8" s="1"/>
  <c r="U27" i="5"/>
  <c r="K27" i="8" s="1"/>
  <c r="U28" i="5"/>
  <c r="K28" i="8" s="1"/>
  <c r="U29" i="5"/>
  <c r="K29" i="8" s="1"/>
  <c r="U30" i="5"/>
  <c r="K30" i="8" s="1"/>
  <c r="U31" i="5"/>
  <c r="K31" i="8" s="1"/>
  <c r="U32" i="5"/>
  <c r="K32" i="8" s="1"/>
  <c r="U33" i="5"/>
  <c r="K33" i="8" s="1"/>
  <c r="U34" i="5"/>
  <c r="K34" i="8" s="1"/>
  <c r="U35" i="5"/>
  <c r="K35" i="8" s="1"/>
  <c r="U36" i="5"/>
  <c r="K36" i="8" s="1"/>
  <c r="U37" i="5"/>
  <c r="K37" i="8" s="1"/>
  <c r="U38" i="5"/>
  <c r="K38" i="8" s="1"/>
  <c r="U39" i="5"/>
  <c r="K39" i="8" s="1"/>
  <c r="U40" i="5"/>
  <c r="K40" i="8" s="1"/>
  <c r="U41" i="5"/>
  <c r="K41" i="8" s="1"/>
  <c r="U42" i="5"/>
  <c r="K42" i="8" s="1"/>
  <c r="U43" i="5"/>
  <c r="K43" i="8" s="1"/>
  <c r="U44" i="5"/>
  <c r="K44" i="8" s="1"/>
  <c r="U45" i="5"/>
  <c r="K45" i="8" s="1"/>
  <c r="U46" i="5"/>
  <c r="K46" i="8" s="1"/>
  <c r="U47" i="5"/>
  <c r="K47" i="8" s="1"/>
  <c r="U48" i="5"/>
  <c r="K48" i="8" s="1"/>
  <c r="U49" i="5"/>
  <c r="K49" i="8" s="1"/>
  <c r="U50" i="5"/>
  <c r="K50" i="8" s="1"/>
  <c r="U51" i="5"/>
  <c r="K51" i="8" s="1"/>
  <c r="U52" i="5"/>
  <c r="K52" i="8" s="1"/>
  <c r="U53" i="5"/>
  <c r="K53" i="8" s="1"/>
  <c r="U54" i="5"/>
  <c r="K54" i="8" s="1"/>
  <c r="U55" i="5"/>
  <c r="K55" i="8" s="1"/>
  <c r="U56" i="5"/>
  <c r="K56" i="8" s="1"/>
  <c r="U57" i="5"/>
  <c r="K57" i="8" s="1"/>
  <c r="U58" i="5"/>
  <c r="K58" i="8" s="1"/>
  <c r="U59" i="5"/>
  <c r="K59" i="8" s="1"/>
  <c r="U60" i="5"/>
  <c r="K60" i="8" s="1"/>
  <c r="U61" i="5"/>
  <c r="K61" i="8" s="1"/>
  <c r="U62" i="5"/>
  <c r="K62" i="8" s="1"/>
  <c r="U63" i="5"/>
  <c r="K63" i="8" s="1"/>
  <c r="U64" i="5"/>
  <c r="K64" i="8" s="1"/>
  <c r="U65" i="5"/>
  <c r="K65" i="8" s="1"/>
  <c r="U66" i="5"/>
  <c r="K66" i="8" s="1"/>
  <c r="U67" i="5"/>
  <c r="K67" i="8" s="1"/>
  <c r="U68" i="5"/>
  <c r="K68" i="8" s="1"/>
  <c r="U69" i="5"/>
  <c r="K69" i="8" s="1"/>
  <c r="U70" i="5"/>
  <c r="K70" i="8" s="1"/>
  <c r="U71" i="5"/>
  <c r="K71" i="8" s="1"/>
  <c r="U72" i="5"/>
  <c r="K72" i="8" s="1"/>
  <c r="U73" i="5"/>
  <c r="K73" i="8" s="1"/>
  <c r="U74" i="5"/>
  <c r="K74" i="8" s="1"/>
  <c r="U75" i="5"/>
  <c r="K75" i="8" s="1"/>
  <c r="U76" i="5"/>
  <c r="K76" i="8" s="1"/>
  <c r="U77" i="5"/>
  <c r="K77" i="8" s="1"/>
  <c r="U78" i="5"/>
  <c r="K78" i="8" s="1"/>
  <c r="U79" i="5"/>
  <c r="K79" i="8" s="1"/>
  <c r="U80" i="5"/>
  <c r="K80" i="8" s="1"/>
  <c r="U81" i="5"/>
  <c r="K81" i="8" s="1"/>
  <c r="U82" i="5"/>
  <c r="K82" i="8" s="1"/>
  <c r="U83" i="5"/>
  <c r="K83" i="8" s="1"/>
  <c r="U84" i="5"/>
  <c r="K84" i="8" s="1"/>
  <c r="U85" i="5"/>
  <c r="K85" i="8" s="1"/>
  <c r="U86" i="5"/>
  <c r="K86" i="8" s="1"/>
  <c r="U87" i="5"/>
  <c r="K87" i="8" s="1"/>
  <c r="U88" i="5"/>
  <c r="K88" i="8" s="1"/>
  <c r="U89" i="5"/>
  <c r="K89" i="8" s="1"/>
  <c r="U90" i="5"/>
  <c r="K90" i="8" s="1"/>
  <c r="U91" i="5"/>
  <c r="K91" i="8" s="1"/>
  <c r="U92" i="5"/>
  <c r="K92" i="8" s="1"/>
  <c r="U93" i="5"/>
  <c r="K93" i="8" s="1"/>
  <c r="U94" i="5"/>
  <c r="K94" i="8" s="1"/>
  <c r="U95" i="5"/>
  <c r="K95" i="8" s="1"/>
  <c r="U96" i="5"/>
  <c r="K96" i="8" s="1"/>
  <c r="U97" i="5"/>
  <c r="K97" i="8" s="1"/>
  <c r="U98" i="5"/>
  <c r="K98" i="8" s="1"/>
  <c r="U99" i="5"/>
  <c r="K99" i="8" s="1"/>
  <c r="U100" i="5"/>
  <c r="K100" i="8" s="1"/>
  <c r="U101" i="5"/>
  <c r="K101" i="8" s="1"/>
  <c r="U102" i="5"/>
  <c r="K102" i="8" s="1"/>
  <c r="U103" i="5"/>
  <c r="K103" i="8" s="1"/>
  <c r="U104" i="5"/>
  <c r="K104" i="8" s="1"/>
  <c r="U105" i="5"/>
  <c r="K105" i="8" s="1"/>
  <c r="U106" i="5"/>
  <c r="K106" i="8" s="1"/>
  <c r="U107" i="5"/>
  <c r="K107" i="8" s="1"/>
  <c r="U108" i="5"/>
  <c r="K108" i="8" s="1"/>
  <c r="U109" i="5"/>
  <c r="K109" i="8" s="1"/>
  <c r="U110" i="5"/>
  <c r="K110" i="8" s="1"/>
  <c r="U111" i="5"/>
  <c r="K111" i="8" s="1"/>
  <c r="U112" i="5"/>
  <c r="K112" i="8" s="1"/>
  <c r="U113" i="5"/>
  <c r="K113" i="8" s="1"/>
  <c r="U114" i="5"/>
  <c r="K114" i="8" s="1"/>
  <c r="U115" i="5"/>
  <c r="K115" i="8" s="1"/>
  <c r="U116" i="5"/>
  <c r="K116" i="8" s="1"/>
  <c r="U117" i="5"/>
  <c r="K117" i="8" s="1"/>
  <c r="U118" i="5"/>
  <c r="K118" i="8" s="1"/>
  <c r="U119" i="5"/>
  <c r="K119" i="8" s="1"/>
  <c r="U120" i="5"/>
  <c r="K120" i="8" s="1"/>
  <c r="U121" i="5"/>
  <c r="K121" i="8" s="1"/>
  <c r="U122" i="5"/>
  <c r="K122" i="8" s="1"/>
  <c r="U123" i="5"/>
  <c r="K123" i="8" s="1"/>
  <c r="U124" i="5"/>
  <c r="K124" i="8" s="1"/>
  <c r="U125" i="5"/>
  <c r="K125" i="8" s="1"/>
  <c r="U126" i="5"/>
  <c r="K126" i="8" s="1"/>
  <c r="U127" i="5"/>
  <c r="K127" i="8" s="1"/>
  <c r="U128" i="5"/>
  <c r="K128" i="8" s="1"/>
  <c r="U129" i="5"/>
  <c r="K129" i="8" s="1"/>
  <c r="U130" i="5"/>
  <c r="K130" i="8" s="1"/>
  <c r="U131" i="5"/>
  <c r="K131" i="8" s="1"/>
  <c r="U132" i="5"/>
  <c r="K132" i="8" s="1"/>
  <c r="U133" i="5"/>
  <c r="K133" i="8" s="1"/>
  <c r="U134" i="5"/>
  <c r="K134" i="8" s="1"/>
  <c r="U135" i="5"/>
  <c r="K135" i="8" s="1"/>
  <c r="U136" i="5"/>
  <c r="K136" i="8" s="1"/>
  <c r="U137" i="5"/>
  <c r="K137" i="8" s="1"/>
  <c r="U138" i="5"/>
  <c r="K138" i="8" s="1"/>
  <c r="U139" i="5"/>
  <c r="K139" i="8" s="1"/>
  <c r="U140" i="5"/>
  <c r="K140" i="8" s="1"/>
  <c r="U141" i="5"/>
  <c r="K141" i="8" s="1"/>
  <c r="U142" i="5"/>
  <c r="K142" i="8" s="1"/>
  <c r="U143" i="5"/>
  <c r="K143" i="8" s="1"/>
  <c r="U144" i="5"/>
  <c r="K144" i="8" s="1"/>
  <c r="U145" i="5"/>
  <c r="K145" i="8" s="1"/>
  <c r="U146" i="5"/>
  <c r="K146" i="8" s="1"/>
  <c r="U147" i="5"/>
  <c r="K147" i="8" s="1"/>
  <c r="U148" i="5"/>
  <c r="K148" i="8" s="1"/>
  <c r="U149" i="5"/>
  <c r="K149" i="8" s="1"/>
  <c r="U150" i="5"/>
  <c r="K150" i="8" s="1"/>
  <c r="U151" i="5"/>
  <c r="K151" i="8" s="1"/>
  <c r="U152" i="5"/>
  <c r="K152" i="8" s="1"/>
  <c r="U153" i="5"/>
  <c r="K153" i="8" s="1"/>
  <c r="U154" i="5"/>
  <c r="K154" i="8" s="1"/>
  <c r="U155" i="5"/>
  <c r="K155" i="8" s="1"/>
  <c r="U156" i="5"/>
  <c r="K156" i="8" s="1"/>
  <c r="U157" i="5"/>
  <c r="K157" i="8" s="1"/>
  <c r="U158" i="5"/>
  <c r="K158" i="8" s="1"/>
  <c r="U159" i="5"/>
  <c r="K159" i="8" s="1"/>
  <c r="U160" i="5"/>
  <c r="K160" i="8" s="1"/>
  <c r="U161" i="5"/>
  <c r="K161" i="8" s="1"/>
  <c r="U162" i="5"/>
  <c r="K162" i="8" s="1"/>
  <c r="U163" i="5"/>
  <c r="K163" i="8" s="1"/>
  <c r="U164" i="5"/>
  <c r="K164" i="8" s="1"/>
  <c r="U165" i="5"/>
  <c r="K165" i="8" s="1"/>
  <c r="U166" i="5"/>
  <c r="K166" i="8" s="1"/>
  <c r="U167" i="5"/>
  <c r="K167" i="8" s="1"/>
  <c r="U168" i="5"/>
  <c r="K168" i="8" s="1"/>
  <c r="U169" i="5"/>
  <c r="K169" i="8" s="1"/>
  <c r="U170" i="5"/>
  <c r="K170" i="8" s="1"/>
  <c r="U171" i="5"/>
  <c r="K171" i="8" s="1"/>
  <c r="U172" i="5"/>
  <c r="K172" i="8" s="1"/>
  <c r="U173" i="5"/>
  <c r="K173" i="8" s="1"/>
  <c r="U174" i="5"/>
  <c r="K174" i="8" s="1"/>
  <c r="U175" i="5"/>
  <c r="K175" i="8" s="1"/>
  <c r="U176" i="5"/>
  <c r="K176" i="8" s="1"/>
  <c r="U177" i="5"/>
  <c r="K177" i="8" s="1"/>
  <c r="U178" i="5"/>
  <c r="K178" i="8" s="1"/>
  <c r="U179" i="5"/>
  <c r="K179" i="8" s="1"/>
  <c r="U180" i="5"/>
  <c r="K180" i="8" s="1"/>
  <c r="U181" i="5"/>
  <c r="K181" i="8" s="1"/>
  <c r="U182" i="5"/>
  <c r="K182" i="8" s="1"/>
  <c r="U183" i="5"/>
  <c r="K183" i="8" s="1"/>
  <c r="U184" i="5"/>
  <c r="K184" i="8" s="1"/>
  <c r="U185" i="5"/>
  <c r="K185" i="8" s="1"/>
  <c r="U186" i="5"/>
  <c r="K186" i="8" s="1"/>
  <c r="U187" i="5"/>
  <c r="K187" i="8" s="1"/>
  <c r="U188" i="5"/>
  <c r="K188" i="8" s="1"/>
  <c r="U189" i="5"/>
  <c r="K189" i="8" s="1"/>
  <c r="U190" i="5"/>
  <c r="K190" i="8" s="1"/>
  <c r="U191" i="5"/>
  <c r="K191" i="8" s="1"/>
  <c r="U192" i="5"/>
  <c r="K192" i="8" s="1"/>
  <c r="U193" i="5"/>
  <c r="K193" i="8" s="1"/>
  <c r="U194" i="5"/>
  <c r="K194" i="8" s="1"/>
  <c r="U195" i="5"/>
  <c r="K195" i="8" s="1"/>
  <c r="U196" i="5"/>
  <c r="K196" i="8" s="1"/>
  <c r="U197" i="5"/>
  <c r="K197" i="8" s="1"/>
  <c r="U198" i="5"/>
  <c r="K198" i="8" s="1"/>
  <c r="U199" i="5"/>
  <c r="K199" i="8" s="1"/>
  <c r="U200" i="5"/>
  <c r="K200" i="8" s="1"/>
  <c r="U201" i="5"/>
  <c r="K201" i="8" s="1"/>
  <c r="U202" i="5"/>
  <c r="K202" i="8" s="1"/>
  <c r="U203" i="5"/>
  <c r="K203" i="8" s="1"/>
  <c r="U204" i="5"/>
  <c r="K204" i="8" s="1"/>
  <c r="U205" i="5"/>
  <c r="K205" i="8" s="1"/>
  <c r="U206" i="5"/>
  <c r="K206" i="8" s="1"/>
  <c r="U207" i="5"/>
  <c r="K207" i="8" s="1"/>
  <c r="U208" i="5"/>
  <c r="K208" i="8" s="1"/>
  <c r="U209" i="5"/>
  <c r="K209" i="8" s="1"/>
  <c r="U210" i="5"/>
  <c r="K210" i="8" s="1"/>
  <c r="U211" i="5"/>
  <c r="K211" i="8" s="1"/>
  <c r="U212" i="5"/>
  <c r="K212" i="8" s="1"/>
  <c r="U213" i="5"/>
  <c r="K213" i="8" s="1"/>
  <c r="U214" i="5"/>
  <c r="K214" i="8" s="1"/>
  <c r="U215" i="5"/>
  <c r="K215" i="8" s="1"/>
  <c r="U216" i="5"/>
  <c r="K216" i="8" s="1"/>
  <c r="U217" i="5"/>
  <c r="K217" i="8" s="1"/>
  <c r="U218" i="5"/>
  <c r="K218" i="8" s="1"/>
  <c r="U219" i="5"/>
  <c r="K219" i="8" s="1"/>
  <c r="U220" i="5"/>
  <c r="K220" i="8" s="1"/>
  <c r="U221" i="5"/>
  <c r="K221" i="8" s="1"/>
  <c r="U222" i="5"/>
  <c r="K222" i="8" s="1"/>
  <c r="U223" i="5"/>
  <c r="K223" i="8" s="1"/>
  <c r="U224" i="5"/>
  <c r="K224" i="8" s="1"/>
  <c r="U225" i="5"/>
  <c r="K225" i="8" s="1"/>
  <c r="U226" i="5"/>
  <c r="K226" i="8" s="1"/>
  <c r="U227" i="5"/>
  <c r="K227" i="8" s="1"/>
  <c r="U228" i="5"/>
  <c r="K228" i="8" s="1"/>
  <c r="U229" i="5"/>
  <c r="K229" i="8" s="1"/>
  <c r="U230" i="5"/>
  <c r="K230" i="8" s="1"/>
  <c r="U231" i="5"/>
  <c r="K231" i="8" s="1"/>
  <c r="U232" i="5"/>
  <c r="K232" i="8" s="1"/>
  <c r="U233" i="5"/>
  <c r="K233" i="8" s="1"/>
  <c r="U234" i="5"/>
  <c r="K234" i="8" s="1"/>
  <c r="U235" i="5"/>
  <c r="K235" i="8" s="1"/>
  <c r="U236" i="5"/>
  <c r="K236" i="8" s="1"/>
  <c r="U237" i="5"/>
  <c r="K237" i="8" s="1"/>
  <c r="U238" i="5"/>
  <c r="K238" i="8" s="1"/>
  <c r="U239" i="5"/>
  <c r="K239" i="8" s="1"/>
  <c r="U240" i="5"/>
  <c r="K240" i="8" s="1"/>
  <c r="U241" i="5"/>
  <c r="K241" i="8" s="1"/>
  <c r="U242" i="5"/>
  <c r="K242" i="8" s="1"/>
  <c r="U243" i="5"/>
  <c r="K243" i="8" s="1"/>
  <c r="U244" i="5"/>
  <c r="K244" i="8" s="1"/>
  <c r="U245" i="5"/>
  <c r="K245" i="8" s="1"/>
  <c r="U246" i="5"/>
  <c r="K246" i="8" s="1"/>
  <c r="U247" i="5"/>
  <c r="K247" i="8" s="1"/>
  <c r="U248" i="5"/>
  <c r="K248" i="8" s="1"/>
  <c r="U249" i="5"/>
  <c r="K249" i="8" s="1"/>
  <c r="U250" i="5"/>
  <c r="K250" i="8" s="1"/>
  <c r="U251" i="5"/>
  <c r="K251" i="8" s="1"/>
  <c r="U252" i="5"/>
  <c r="K252" i="8" s="1"/>
  <c r="U253" i="5"/>
  <c r="K253" i="8" s="1"/>
  <c r="U254" i="5"/>
  <c r="K254" i="8" s="1"/>
  <c r="U255" i="5"/>
  <c r="K255" i="8" s="1"/>
  <c r="U256" i="5"/>
  <c r="K256" i="8" s="1"/>
  <c r="U257" i="5"/>
  <c r="K257" i="8" s="1"/>
  <c r="U258" i="5"/>
  <c r="K258" i="8" s="1"/>
  <c r="U259" i="5"/>
  <c r="K259" i="8" s="1"/>
  <c r="U260" i="5"/>
  <c r="K260" i="8" s="1"/>
  <c r="U261" i="5"/>
  <c r="K261" i="8" s="1"/>
  <c r="U262" i="5"/>
  <c r="K262" i="8" s="1"/>
  <c r="U263" i="5"/>
  <c r="K263" i="8" s="1"/>
  <c r="U264" i="5"/>
  <c r="K264" i="8" s="1"/>
  <c r="U265" i="5"/>
  <c r="K265" i="8" s="1"/>
  <c r="U266" i="5"/>
  <c r="K266" i="8" s="1"/>
  <c r="U267" i="5"/>
  <c r="K267" i="8" s="1"/>
  <c r="U268" i="5"/>
  <c r="K268" i="8" s="1"/>
  <c r="U269" i="5"/>
  <c r="K269" i="8" s="1"/>
  <c r="U270" i="5"/>
  <c r="K270" i="8" s="1"/>
  <c r="U271" i="5"/>
  <c r="K271" i="8" s="1"/>
  <c r="U272" i="5"/>
  <c r="K272" i="8" s="1"/>
  <c r="U273" i="5"/>
  <c r="K273" i="8" s="1"/>
  <c r="U274" i="5"/>
  <c r="K274" i="8" s="1"/>
  <c r="U275" i="5"/>
  <c r="K275" i="8" s="1"/>
  <c r="U276" i="5"/>
  <c r="K276" i="8" s="1"/>
  <c r="U277" i="5"/>
  <c r="K277" i="8" s="1"/>
  <c r="U278" i="5"/>
  <c r="K278" i="8" s="1"/>
  <c r="U279" i="5"/>
  <c r="K279" i="8" s="1"/>
  <c r="U280" i="5"/>
  <c r="K280" i="8" s="1"/>
  <c r="U281" i="5"/>
  <c r="K281" i="8" s="1"/>
  <c r="U282" i="5"/>
  <c r="K282" i="8" s="1"/>
  <c r="U283" i="5"/>
  <c r="K283" i="8" s="1"/>
  <c r="U284" i="5"/>
  <c r="K284" i="8" s="1"/>
  <c r="U285" i="5"/>
  <c r="K285" i="8" s="1"/>
  <c r="U286" i="5"/>
  <c r="K286" i="8" s="1"/>
  <c r="U287" i="5"/>
  <c r="K287" i="8" s="1"/>
  <c r="U288" i="5"/>
  <c r="K288" i="8" s="1"/>
  <c r="U289" i="5"/>
  <c r="K289" i="8" s="1"/>
  <c r="U290" i="5"/>
  <c r="K290" i="8" s="1"/>
  <c r="U291" i="5"/>
  <c r="K291" i="8" s="1"/>
  <c r="U292" i="5"/>
  <c r="K292" i="8" s="1"/>
  <c r="U293" i="5"/>
  <c r="K293" i="8" s="1"/>
  <c r="U294" i="5"/>
  <c r="K294" i="8" s="1"/>
  <c r="U295" i="5"/>
  <c r="K295" i="8" s="1"/>
  <c r="U296" i="5"/>
  <c r="K296" i="8" s="1"/>
  <c r="U297" i="5"/>
  <c r="K297" i="8" s="1"/>
  <c r="U298" i="5"/>
  <c r="K298" i="8" s="1"/>
  <c r="U299" i="5"/>
  <c r="K299" i="8" s="1"/>
  <c r="U300" i="5"/>
  <c r="K300" i="8" s="1"/>
  <c r="U301" i="5"/>
  <c r="K301" i="8" s="1"/>
  <c r="U302" i="5"/>
  <c r="K302" i="8" s="1"/>
  <c r="U303" i="5"/>
  <c r="K303" i="8" s="1"/>
  <c r="U304" i="5"/>
  <c r="K304" i="8" s="1"/>
  <c r="U305" i="5"/>
  <c r="K305" i="8" s="1"/>
  <c r="U306" i="5"/>
  <c r="K306" i="8" s="1"/>
  <c r="U307" i="5"/>
  <c r="K307" i="8" s="1"/>
  <c r="U308" i="5"/>
  <c r="K308" i="8" s="1"/>
  <c r="U309" i="5"/>
  <c r="K309" i="8" s="1"/>
  <c r="U310" i="5"/>
  <c r="K310" i="8" s="1"/>
  <c r="U311" i="5"/>
  <c r="K311" i="8" s="1"/>
  <c r="U312" i="5"/>
  <c r="K312" i="8" s="1"/>
  <c r="U313" i="5"/>
  <c r="K313" i="8" s="1"/>
  <c r="U314" i="5"/>
  <c r="K314" i="8" s="1"/>
  <c r="U315" i="5"/>
  <c r="K315" i="8" s="1"/>
  <c r="U316" i="5"/>
  <c r="K316" i="8" s="1"/>
  <c r="U317" i="5"/>
  <c r="K317" i="8" s="1"/>
  <c r="U318" i="5"/>
  <c r="K318" i="8" s="1"/>
  <c r="U319" i="5"/>
  <c r="K319" i="8" s="1"/>
  <c r="U320" i="5"/>
  <c r="K320" i="8" s="1"/>
  <c r="U321" i="5"/>
  <c r="K321" i="8" s="1"/>
  <c r="U2" i="5"/>
  <c r="K2" i="8" s="1"/>
  <c r="T3" i="5"/>
  <c r="J3" i="8" s="1"/>
  <c r="T4" i="5"/>
  <c r="J4" i="8" s="1"/>
  <c r="T5" i="5"/>
  <c r="J5" i="8" s="1"/>
  <c r="T6" i="5"/>
  <c r="J6" i="8" s="1"/>
  <c r="T7" i="5"/>
  <c r="J7" i="8" s="1"/>
  <c r="T8" i="5"/>
  <c r="J8" i="8" s="1"/>
  <c r="T9" i="5"/>
  <c r="J9" i="8" s="1"/>
  <c r="T10" i="5"/>
  <c r="J10" i="8" s="1"/>
  <c r="T11" i="5"/>
  <c r="J11" i="8" s="1"/>
  <c r="T12" i="5"/>
  <c r="J12" i="8" s="1"/>
  <c r="T13" i="5"/>
  <c r="J13" i="8" s="1"/>
  <c r="T14" i="5"/>
  <c r="J14" i="8" s="1"/>
  <c r="T15" i="5"/>
  <c r="J15" i="8" s="1"/>
  <c r="T16" i="5"/>
  <c r="J16" i="8" s="1"/>
  <c r="T17" i="5"/>
  <c r="J17" i="8" s="1"/>
  <c r="T18" i="5"/>
  <c r="J18" i="8" s="1"/>
  <c r="T19" i="5"/>
  <c r="J19" i="8" s="1"/>
  <c r="T20" i="5"/>
  <c r="J20" i="8" s="1"/>
  <c r="T21" i="5"/>
  <c r="J21" i="8" s="1"/>
  <c r="T22" i="5"/>
  <c r="J22" i="8" s="1"/>
  <c r="T23" i="5"/>
  <c r="J23" i="8" s="1"/>
  <c r="T24" i="5"/>
  <c r="J24" i="8" s="1"/>
  <c r="T25" i="5"/>
  <c r="J25" i="8" s="1"/>
  <c r="T26" i="5"/>
  <c r="J26" i="8" s="1"/>
  <c r="T27" i="5"/>
  <c r="J27" i="8" s="1"/>
  <c r="T28" i="5"/>
  <c r="J28" i="8" s="1"/>
  <c r="T29" i="5"/>
  <c r="J29" i="8" s="1"/>
  <c r="T30" i="5"/>
  <c r="J30" i="8" s="1"/>
  <c r="T31" i="5"/>
  <c r="J31" i="8" s="1"/>
  <c r="T32" i="5"/>
  <c r="J32" i="8" s="1"/>
  <c r="T33" i="5"/>
  <c r="J33" i="8" s="1"/>
  <c r="T34" i="5"/>
  <c r="J34" i="8" s="1"/>
  <c r="T35" i="5"/>
  <c r="J35" i="8" s="1"/>
  <c r="T36" i="5"/>
  <c r="J36" i="8" s="1"/>
  <c r="T37" i="5"/>
  <c r="J37" i="8" s="1"/>
  <c r="T38" i="5"/>
  <c r="J38" i="8" s="1"/>
  <c r="T39" i="5"/>
  <c r="J39" i="8" s="1"/>
  <c r="T40" i="5"/>
  <c r="J40" i="8" s="1"/>
  <c r="T41" i="5"/>
  <c r="J41" i="8" s="1"/>
  <c r="T42" i="5"/>
  <c r="J42" i="8" s="1"/>
  <c r="T43" i="5"/>
  <c r="J43" i="8" s="1"/>
  <c r="T44" i="5"/>
  <c r="J44" i="8" s="1"/>
  <c r="T45" i="5"/>
  <c r="J45" i="8" s="1"/>
  <c r="T46" i="5"/>
  <c r="J46" i="8" s="1"/>
  <c r="T47" i="5"/>
  <c r="J47" i="8" s="1"/>
  <c r="T48" i="5"/>
  <c r="J48" i="8" s="1"/>
  <c r="T49" i="5"/>
  <c r="J49" i="8" s="1"/>
  <c r="T50" i="5"/>
  <c r="J50" i="8" s="1"/>
  <c r="T51" i="5"/>
  <c r="J51" i="8" s="1"/>
  <c r="T52" i="5"/>
  <c r="J52" i="8" s="1"/>
  <c r="T53" i="5"/>
  <c r="J53" i="8" s="1"/>
  <c r="T54" i="5"/>
  <c r="J54" i="8" s="1"/>
  <c r="T55" i="5"/>
  <c r="J55" i="8" s="1"/>
  <c r="T56" i="5"/>
  <c r="J56" i="8" s="1"/>
  <c r="T57" i="5"/>
  <c r="J57" i="8" s="1"/>
  <c r="T58" i="5"/>
  <c r="J58" i="8" s="1"/>
  <c r="T59" i="5"/>
  <c r="J59" i="8" s="1"/>
  <c r="T60" i="5"/>
  <c r="J60" i="8" s="1"/>
  <c r="T61" i="5"/>
  <c r="J61" i="8" s="1"/>
  <c r="T62" i="5"/>
  <c r="J62" i="8" s="1"/>
  <c r="T63" i="5"/>
  <c r="J63" i="8" s="1"/>
  <c r="T64" i="5"/>
  <c r="J64" i="8" s="1"/>
  <c r="T65" i="5"/>
  <c r="J65" i="8" s="1"/>
  <c r="T66" i="5"/>
  <c r="J66" i="8" s="1"/>
  <c r="T67" i="5"/>
  <c r="J67" i="8" s="1"/>
  <c r="T68" i="5"/>
  <c r="J68" i="8" s="1"/>
  <c r="T69" i="5"/>
  <c r="J69" i="8" s="1"/>
  <c r="T70" i="5"/>
  <c r="J70" i="8" s="1"/>
  <c r="T71" i="5"/>
  <c r="J71" i="8" s="1"/>
  <c r="T72" i="5"/>
  <c r="J72" i="8" s="1"/>
  <c r="T73" i="5"/>
  <c r="J73" i="8" s="1"/>
  <c r="T74" i="5"/>
  <c r="J74" i="8" s="1"/>
  <c r="T75" i="5"/>
  <c r="J75" i="8" s="1"/>
  <c r="T76" i="5"/>
  <c r="J76" i="8" s="1"/>
  <c r="T77" i="5"/>
  <c r="J77" i="8" s="1"/>
  <c r="T78" i="5"/>
  <c r="J78" i="8" s="1"/>
  <c r="T79" i="5"/>
  <c r="J79" i="8" s="1"/>
  <c r="T80" i="5"/>
  <c r="J80" i="8" s="1"/>
  <c r="T81" i="5"/>
  <c r="J81" i="8" s="1"/>
  <c r="T82" i="5"/>
  <c r="J82" i="8" s="1"/>
  <c r="T83" i="5"/>
  <c r="J83" i="8" s="1"/>
  <c r="T84" i="5"/>
  <c r="J84" i="8" s="1"/>
  <c r="T85" i="5"/>
  <c r="J85" i="8" s="1"/>
  <c r="T86" i="5"/>
  <c r="J86" i="8" s="1"/>
  <c r="T87" i="5"/>
  <c r="J87" i="8" s="1"/>
  <c r="T88" i="5"/>
  <c r="J88" i="8" s="1"/>
  <c r="T89" i="5"/>
  <c r="J89" i="8" s="1"/>
  <c r="T90" i="5"/>
  <c r="J90" i="8" s="1"/>
  <c r="T91" i="5"/>
  <c r="J91" i="8" s="1"/>
  <c r="T92" i="5"/>
  <c r="J92" i="8" s="1"/>
  <c r="T93" i="5"/>
  <c r="J93" i="8" s="1"/>
  <c r="T94" i="5"/>
  <c r="J94" i="8" s="1"/>
  <c r="T95" i="5"/>
  <c r="J95" i="8" s="1"/>
  <c r="T96" i="5"/>
  <c r="J96" i="8" s="1"/>
  <c r="T97" i="5"/>
  <c r="J97" i="8" s="1"/>
  <c r="T98" i="5"/>
  <c r="J98" i="8" s="1"/>
  <c r="T99" i="5"/>
  <c r="J99" i="8" s="1"/>
  <c r="T100" i="5"/>
  <c r="J100" i="8" s="1"/>
  <c r="T101" i="5"/>
  <c r="J101" i="8" s="1"/>
  <c r="T102" i="5"/>
  <c r="J102" i="8" s="1"/>
  <c r="T103" i="5"/>
  <c r="J103" i="8" s="1"/>
  <c r="T104" i="5"/>
  <c r="J104" i="8" s="1"/>
  <c r="T105" i="5"/>
  <c r="J105" i="8" s="1"/>
  <c r="T106" i="5"/>
  <c r="J106" i="8" s="1"/>
  <c r="T107" i="5"/>
  <c r="J107" i="8" s="1"/>
  <c r="T108" i="5"/>
  <c r="J108" i="8" s="1"/>
  <c r="T109" i="5"/>
  <c r="J109" i="8" s="1"/>
  <c r="T110" i="5"/>
  <c r="J110" i="8" s="1"/>
  <c r="T111" i="5"/>
  <c r="J111" i="8" s="1"/>
  <c r="T112" i="5"/>
  <c r="J112" i="8" s="1"/>
  <c r="T113" i="5"/>
  <c r="J113" i="8" s="1"/>
  <c r="T114" i="5"/>
  <c r="J114" i="8" s="1"/>
  <c r="T115" i="5"/>
  <c r="J115" i="8" s="1"/>
  <c r="T116" i="5"/>
  <c r="J116" i="8" s="1"/>
  <c r="T117" i="5"/>
  <c r="J117" i="8" s="1"/>
  <c r="T118" i="5"/>
  <c r="J118" i="8" s="1"/>
  <c r="T119" i="5"/>
  <c r="J119" i="8" s="1"/>
  <c r="T120" i="5"/>
  <c r="J120" i="8" s="1"/>
  <c r="T121" i="5"/>
  <c r="J121" i="8" s="1"/>
  <c r="T122" i="5"/>
  <c r="J122" i="8" s="1"/>
  <c r="T123" i="5"/>
  <c r="J123" i="8" s="1"/>
  <c r="T124" i="5"/>
  <c r="J124" i="8" s="1"/>
  <c r="T125" i="5"/>
  <c r="J125" i="8" s="1"/>
  <c r="T126" i="5"/>
  <c r="J126" i="8" s="1"/>
  <c r="T127" i="5"/>
  <c r="J127" i="8" s="1"/>
  <c r="T128" i="5"/>
  <c r="J128" i="8" s="1"/>
  <c r="T129" i="5"/>
  <c r="J129" i="8" s="1"/>
  <c r="T130" i="5"/>
  <c r="J130" i="8" s="1"/>
  <c r="T131" i="5"/>
  <c r="J131" i="8" s="1"/>
  <c r="T132" i="5"/>
  <c r="J132" i="8" s="1"/>
  <c r="T133" i="5"/>
  <c r="J133" i="8" s="1"/>
  <c r="T134" i="5"/>
  <c r="J134" i="8" s="1"/>
  <c r="T135" i="5"/>
  <c r="J135" i="8" s="1"/>
  <c r="T136" i="5"/>
  <c r="J136" i="8" s="1"/>
  <c r="T137" i="5"/>
  <c r="J137" i="8" s="1"/>
  <c r="T138" i="5"/>
  <c r="J138" i="8" s="1"/>
  <c r="T139" i="5"/>
  <c r="J139" i="8" s="1"/>
  <c r="T140" i="5"/>
  <c r="J140" i="8" s="1"/>
  <c r="T141" i="5"/>
  <c r="J141" i="8" s="1"/>
  <c r="T142" i="5"/>
  <c r="J142" i="8" s="1"/>
  <c r="T143" i="5"/>
  <c r="J143" i="8" s="1"/>
  <c r="T144" i="5"/>
  <c r="J144" i="8" s="1"/>
  <c r="T145" i="5"/>
  <c r="J145" i="8" s="1"/>
  <c r="T146" i="5"/>
  <c r="J146" i="8" s="1"/>
  <c r="T147" i="5"/>
  <c r="J147" i="8" s="1"/>
  <c r="T148" i="5"/>
  <c r="J148" i="8" s="1"/>
  <c r="T149" i="5"/>
  <c r="J149" i="8" s="1"/>
  <c r="T150" i="5"/>
  <c r="J150" i="8" s="1"/>
  <c r="T151" i="5"/>
  <c r="J151" i="8" s="1"/>
  <c r="T152" i="5"/>
  <c r="J152" i="8" s="1"/>
  <c r="T153" i="5"/>
  <c r="J153" i="8" s="1"/>
  <c r="T154" i="5"/>
  <c r="J154" i="8" s="1"/>
  <c r="T155" i="5"/>
  <c r="J155" i="8" s="1"/>
  <c r="T156" i="5"/>
  <c r="J156" i="8" s="1"/>
  <c r="T157" i="5"/>
  <c r="J157" i="8" s="1"/>
  <c r="T158" i="5"/>
  <c r="J158" i="8" s="1"/>
  <c r="T159" i="5"/>
  <c r="J159" i="8" s="1"/>
  <c r="T160" i="5"/>
  <c r="J160" i="8" s="1"/>
  <c r="T161" i="5"/>
  <c r="J161" i="8" s="1"/>
  <c r="T162" i="5"/>
  <c r="J162" i="8" s="1"/>
  <c r="T163" i="5"/>
  <c r="J163" i="8" s="1"/>
  <c r="T164" i="5"/>
  <c r="J164" i="8" s="1"/>
  <c r="T165" i="5"/>
  <c r="J165" i="8" s="1"/>
  <c r="T166" i="5"/>
  <c r="J166" i="8" s="1"/>
  <c r="T167" i="5"/>
  <c r="J167" i="8" s="1"/>
  <c r="T168" i="5"/>
  <c r="J168" i="8" s="1"/>
  <c r="T169" i="5"/>
  <c r="J169" i="8" s="1"/>
  <c r="T170" i="5"/>
  <c r="J170" i="8" s="1"/>
  <c r="T171" i="5"/>
  <c r="J171" i="8" s="1"/>
  <c r="T172" i="5"/>
  <c r="J172" i="8" s="1"/>
  <c r="T173" i="5"/>
  <c r="J173" i="8" s="1"/>
  <c r="T174" i="5"/>
  <c r="J174" i="8" s="1"/>
  <c r="T175" i="5"/>
  <c r="J175" i="8" s="1"/>
  <c r="T176" i="5"/>
  <c r="J176" i="8" s="1"/>
  <c r="T177" i="5"/>
  <c r="J177" i="8" s="1"/>
  <c r="T178" i="5"/>
  <c r="J178" i="8" s="1"/>
  <c r="T179" i="5"/>
  <c r="J179" i="8" s="1"/>
  <c r="T180" i="5"/>
  <c r="J180" i="8" s="1"/>
  <c r="T181" i="5"/>
  <c r="J181" i="8" s="1"/>
  <c r="T182" i="5"/>
  <c r="J182" i="8" s="1"/>
  <c r="T183" i="5"/>
  <c r="J183" i="8" s="1"/>
  <c r="T184" i="5"/>
  <c r="J184" i="8" s="1"/>
  <c r="T185" i="5"/>
  <c r="J185" i="8" s="1"/>
  <c r="T186" i="5"/>
  <c r="J186" i="8" s="1"/>
  <c r="T187" i="5"/>
  <c r="J187" i="8" s="1"/>
  <c r="T188" i="5"/>
  <c r="J188" i="8" s="1"/>
  <c r="T189" i="5"/>
  <c r="J189" i="8" s="1"/>
  <c r="T190" i="5"/>
  <c r="J190" i="8" s="1"/>
  <c r="T191" i="5"/>
  <c r="J191" i="8" s="1"/>
  <c r="T192" i="5"/>
  <c r="J192" i="8" s="1"/>
  <c r="T193" i="5"/>
  <c r="J193" i="8" s="1"/>
  <c r="T194" i="5"/>
  <c r="J194" i="8" s="1"/>
  <c r="T195" i="5"/>
  <c r="J195" i="8" s="1"/>
  <c r="T196" i="5"/>
  <c r="J196" i="8" s="1"/>
  <c r="T197" i="5"/>
  <c r="J197" i="8" s="1"/>
  <c r="T198" i="5"/>
  <c r="J198" i="8" s="1"/>
  <c r="T199" i="5"/>
  <c r="J199" i="8" s="1"/>
  <c r="T200" i="5"/>
  <c r="J200" i="8" s="1"/>
  <c r="T201" i="5"/>
  <c r="J201" i="8" s="1"/>
  <c r="T202" i="5"/>
  <c r="J202" i="8" s="1"/>
  <c r="T203" i="5"/>
  <c r="J203" i="8" s="1"/>
  <c r="T204" i="5"/>
  <c r="J204" i="8" s="1"/>
  <c r="T205" i="5"/>
  <c r="J205" i="8" s="1"/>
  <c r="T206" i="5"/>
  <c r="J206" i="8" s="1"/>
  <c r="T207" i="5"/>
  <c r="J207" i="8" s="1"/>
  <c r="T208" i="5"/>
  <c r="J208" i="8" s="1"/>
  <c r="T209" i="5"/>
  <c r="J209" i="8" s="1"/>
  <c r="T210" i="5"/>
  <c r="J210" i="8" s="1"/>
  <c r="T211" i="5"/>
  <c r="J211" i="8" s="1"/>
  <c r="T212" i="5"/>
  <c r="J212" i="8" s="1"/>
  <c r="T213" i="5"/>
  <c r="J213" i="8" s="1"/>
  <c r="T214" i="5"/>
  <c r="J214" i="8" s="1"/>
  <c r="T215" i="5"/>
  <c r="J215" i="8" s="1"/>
  <c r="T216" i="5"/>
  <c r="J216" i="8" s="1"/>
  <c r="T217" i="5"/>
  <c r="J217" i="8" s="1"/>
  <c r="T218" i="5"/>
  <c r="J218" i="8" s="1"/>
  <c r="T219" i="5"/>
  <c r="J219" i="8" s="1"/>
  <c r="T220" i="5"/>
  <c r="J220" i="8" s="1"/>
  <c r="T221" i="5"/>
  <c r="J221" i="8" s="1"/>
  <c r="T222" i="5"/>
  <c r="J222" i="8" s="1"/>
  <c r="T223" i="5"/>
  <c r="J223" i="8" s="1"/>
  <c r="T224" i="5"/>
  <c r="J224" i="8" s="1"/>
  <c r="T225" i="5"/>
  <c r="J225" i="8" s="1"/>
  <c r="T226" i="5"/>
  <c r="J226" i="8" s="1"/>
  <c r="T227" i="5"/>
  <c r="J227" i="8" s="1"/>
  <c r="T228" i="5"/>
  <c r="J228" i="8" s="1"/>
  <c r="T229" i="5"/>
  <c r="J229" i="8" s="1"/>
  <c r="T230" i="5"/>
  <c r="J230" i="8" s="1"/>
  <c r="T231" i="5"/>
  <c r="J231" i="8" s="1"/>
  <c r="T232" i="5"/>
  <c r="J232" i="8" s="1"/>
  <c r="T233" i="5"/>
  <c r="J233" i="8" s="1"/>
  <c r="T234" i="5"/>
  <c r="J234" i="8" s="1"/>
  <c r="T235" i="5"/>
  <c r="J235" i="8" s="1"/>
  <c r="T236" i="5"/>
  <c r="J236" i="8" s="1"/>
  <c r="T237" i="5"/>
  <c r="J237" i="8" s="1"/>
  <c r="T238" i="5"/>
  <c r="J238" i="8" s="1"/>
  <c r="T239" i="5"/>
  <c r="J239" i="8" s="1"/>
  <c r="T240" i="5"/>
  <c r="J240" i="8" s="1"/>
  <c r="T241" i="5"/>
  <c r="J241" i="8" s="1"/>
  <c r="T242" i="5"/>
  <c r="J242" i="8" s="1"/>
  <c r="T243" i="5"/>
  <c r="J243" i="8" s="1"/>
  <c r="T244" i="5"/>
  <c r="J244" i="8" s="1"/>
  <c r="T245" i="5"/>
  <c r="J245" i="8" s="1"/>
  <c r="T246" i="5"/>
  <c r="J246" i="8" s="1"/>
  <c r="T247" i="5"/>
  <c r="J247" i="8" s="1"/>
  <c r="T248" i="5"/>
  <c r="J248" i="8" s="1"/>
  <c r="T249" i="5"/>
  <c r="J249" i="8" s="1"/>
  <c r="T250" i="5"/>
  <c r="J250" i="8" s="1"/>
  <c r="T251" i="5"/>
  <c r="J251" i="8" s="1"/>
  <c r="T252" i="5"/>
  <c r="J252" i="8" s="1"/>
  <c r="T253" i="5"/>
  <c r="J253" i="8" s="1"/>
  <c r="T254" i="5"/>
  <c r="J254" i="8" s="1"/>
  <c r="T255" i="5"/>
  <c r="J255" i="8" s="1"/>
  <c r="T256" i="5"/>
  <c r="J256" i="8" s="1"/>
  <c r="T257" i="5"/>
  <c r="J257" i="8" s="1"/>
  <c r="T258" i="5"/>
  <c r="J258" i="8" s="1"/>
  <c r="T259" i="5"/>
  <c r="J259" i="8" s="1"/>
  <c r="T260" i="5"/>
  <c r="J260" i="8" s="1"/>
  <c r="T261" i="5"/>
  <c r="J261" i="8" s="1"/>
  <c r="T262" i="5"/>
  <c r="J262" i="8" s="1"/>
  <c r="T263" i="5"/>
  <c r="J263" i="8" s="1"/>
  <c r="T264" i="5"/>
  <c r="J264" i="8" s="1"/>
  <c r="T265" i="5"/>
  <c r="J265" i="8" s="1"/>
  <c r="T266" i="5"/>
  <c r="J266" i="8" s="1"/>
  <c r="T267" i="5"/>
  <c r="J267" i="8" s="1"/>
  <c r="T268" i="5"/>
  <c r="J268" i="8" s="1"/>
  <c r="T269" i="5"/>
  <c r="J269" i="8" s="1"/>
  <c r="T270" i="5"/>
  <c r="J270" i="8" s="1"/>
  <c r="T271" i="5"/>
  <c r="J271" i="8" s="1"/>
  <c r="T272" i="5"/>
  <c r="J272" i="8" s="1"/>
  <c r="T273" i="5"/>
  <c r="J273" i="8" s="1"/>
  <c r="T274" i="5"/>
  <c r="J274" i="8" s="1"/>
  <c r="T275" i="5"/>
  <c r="J275" i="8" s="1"/>
  <c r="T276" i="5"/>
  <c r="J276" i="8" s="1"/>
  <c r="T277" i="5"/>
  <c r="J277" i="8" s="1"/>
  <c r="T278" i="5"/>
  <c r="J278" i="8" s="1"/>
  <c r="T279" i="5"/>
  <c r="J279" i="8" s="1"/>
  <c r="T280" i="5"/>
  <c r="J280" i="8" s="1"/>
  <c r="T281" i="5"/>
  <c r="J281" i="8" s="1"/>
  <c r="T282" i="5"/>
  <c r="J282" i="8" s="1"/>
  <c r="T283" i="5"/>
  <c r="J283" i="8" s="1"/>
  <c r="T284" i="5"/>
  <c r="J284" i="8" s="1"/>
  <c r="T285" i="5"/>
  <c r="J285" i="8" s="1"/>
  <c r="T286" i="5"/>
  <c r="J286" i="8" s="1"/>
  <c r="T287" i="5"/>
  <c r="J287" i="8" s="1"/>
  <c r="T288" i="5"/>
  <c r="J288" i="8" s="1"/>
  <c r="T289" i="5"/>
  <c r="J289" i="8" s="1"/>
  <c r="T290" i="5"/>
  <c r="J290" i="8" s="1"/>
  <c r="T291" i="5"/>
  <c r="J291" i="8" s="1"/>
  <c r="T292" i="5"/>
  <c r="J292" i="8" s="1"/>
  <c r="T293" i="5"/>
  <c r="J293" i="8" s="1"/>
  <c r="T294" i="5"/>
  <c r="J294" i="8" s="1"/>
  <c r="T295" i="5"/>
  <c r="J295" i="8" s="1"/>
  <c r="T296" i="5"/>
  <c r="J296" i="8" s="1"/>
  <c r="T297" i="5"/>
  <c r="J297" i="8" s="1"/>
  <c r="T298" i="5"/>
  <c r="J298" i="8" s="1"/>
  <c r="T299" i="5"/>
  <c r="J299" i="8" s="1"/>
  <c r="T300" i="5"/>
  <c r="J300" i="8" s="1"/>
  <c r="T301" i="5"/>
  <c r="J301" i="8" s="1"/>
  <c r="T302" i="5"/>
  <c r="J302" i="8" s="1"/>
  <c r="T303" i="5"/>
  <c r="J303" i="8" s="1"/>
  <c r="T304" i="5"/>
  <c r="J304" i="8" s="1"/>
  <c r="T305" i="5"/>
  <c r="J305" i="8" s="1"/>
  <c r="T306" i="5"/>
  <c r="J306" i="8" s="1"/>
  <c r="T307" i="5"/>
  <c r="J307" i="8" s="1"/>
  <c r="T308" i="5"/>
  <c r="J308" i="8" s="1"/>
  <c r="T309" i="5"/>
  <c r="J309" i="8" s="1"/>
  <c r="T310" i="5"/>
  <c r="J310" i="8" s="1"/>
  <c r="T311" i="5"/>
  <c r="J311" i="8" s="1"/>
  <c r="T312" i="5"/>
  <c r="J312" i="8" s="1"/>
  <c r="T313" i="5"/>
  <c r="J313" i="8" s="1"/>
  <c r="T314" i="5"/>
  <c r="J314" i="8" s="1"/>
  <c r="T315" i="5"/>
  <c r="J315" i="8" s="1"/>
  <c r="T316" i="5"/>
  <c r="J316" i="8" s="1"/>
  <c r="T317" i="5"/>
  <c r="J317" i="8" s="1"/>
  <c r="T318" i="5"/>
  <c r="J318" i="8" s="1"/>
  <c r="T319" i="5"/>
  <c r="J319" i="8" s="1"/>
  <c r="T320" i="5"/>
  <c r="J320" i="8" s="1"/>
  <c r="T321" i="5"/>
  <c r="J321" i="8" s="1"/>
  <c r="T2" i="5"/>
  <c r="J2" i="8" s="1"/>
  <c r="S3" i="5"/>
  <c r="I3" i="8" s="1"/>
  <c r="S4" i="5"/>
  <c r="I4" i="8" s="1"/>
  <c r="S5" i="5"/>
  <c r="I5" i="8" s="1"/>
  <c r="S6" i="5"/>
  <c r="I6" i="8" s="1"/>
  <c r="S7" i="5"/>
  <c r="I7" i="8" s="1"/>
  <c r="S8" i="5"/>
  <c r="I8" i="8" s="1"/>
  <c r="S9" i="5"/>
  <c r="I9" i="8" s="1"/>
  <c r="S10" i="5"/>
  <c r="I10" i="8" s="1"/>
  <c r="S11" i="5"/>
  <c r="I11" i="8" s="1"/>
  <c r="S12" i="5"/>
  <c r="I12" i="8" s="1"/>
  <c r="S13" i="5"/>
  <c r="I13" i="8" s="1"/>
  <c r="S14" i="5"/>
  <c r="I14" i="8" s="1"/>
  <c r="S15" i="5"/>
  <c r="I15" i="8" s="1"/>
  <c r="S16" i="5"/>
  <c r="I16" i="8" s="1"/>
  <c r="S17" i="5"/>
  <c r="I17" i="8" s="1"/>
  <c r="S18" i="5"/>
  <c r="I18" i="8" s="1"/>
  <c r="S19" i="5"/>
  <c r="I19" i="8" s="1"/>
  <c r="S20" i="5"/>
  <c r="I20" i="8" s="1"/>
  <c r="S21" i="5"/>
  <c r="I21" i="8" s="1"/>
  <c r="S22" i="5"/>
  <c r="I22" i="8" s="1"/>
  <c r="S23" i="5"/>
  <c r="I23" i="8" s="1"/>
  <c r="S24" i="5"/>
  <c r="I24" i="8" s="1"/>
  <c r="S25" i="5"/>
  <c r="I25" i="8" s="1"/>
  <c r="S26" i="5"/>
  <c r="I26" i="8" s="1"/>
  <c r="S27" i="5"/>
  <c r="I27" i="8" s="1"/>
  <c r="S28" i="5"/>
  <c r="I28" i="8" s="1"/>
  <c r="S29" i="5"/>
  <c r="I29" i="8" s="1"/>
  <c r="S30" i="5"/>
  <c r="I30" i="8" s="1"/>
  <c r="S31" i="5"/>
  <c r="I31" i="8" s="1"/>
  <c r="S32" i="5"/>
  <c r="I32" i="8" s="1"/>
  <c r="S33" i="5"/>
  <c r="I33" i="8" s="1"/>
  <c r="S34" i="5"/>
  <c r="I34" i="8" s="1"/>
  <c r="S35" i="5"/>
  <c r="I35" i="8" s="1"/>
  <c r="S36" i="5"/>
  <c r="I36" i="8" s="1"/>
  <c r="S37" i="5"/>
  <c r="I37" i="8" s="1"/>
  <c r="S38" i="5"/>
  <c r="I38" i="8" s="1"/>
  <c r="S39" i="5"/>
  <c r="I39" i="8" s="1"/>
  <c r="S40" i="5"/>
  <c r="I40" i="8" s="1"/>
  <c r="S41" i="5"/>
  <c r="I41" i="8" s="1"/>
  <c r="S42" i="5"/>
  <c r="I42" i="8" s="1"/>
  <c r="S43" i="5"/>
  <c r="I43" i="8" s="1"/>
  <c r="S44" i="5"/>
  <c r="I44" i="8" s="1"/>
  <c r="S45" i="5"/>
  <c r="I45" i="8" s="1"/>
  <c r="S46" i="5"/>
  <c r="I46" i="8" s="1"/>
  <c r="S47" i="5"/>
  <c r="I47" i="8" s="1"/>
  <c r="S48" i="5"/>
  <c r="I48" i="8" s="1"/>
  <c r="S49" i="5"/>
  <c r="I49" i="8" s="1"/>
  <c r="S50" i="5"/>
  <c r="I50" i="8" s="1"/>
  <c r="S51" i="5"/>
  <c r="I51" i="8" s="1"/>
  <c r="S52" i="5"/>
  <c r="I52" i="8" s="1"/>
  <c r="S53" i="5"/>
  <c r="I53" i="8" s="1"/>
  <c r="S54" i="5"/>
  <c r="I54" i="8" s="1"/>
  <c r="S55" i="5"/>
  <c r="I55" i="8" s="1"/>
  <c r="S56" i="5"/>
  <c r="I56" i="8" s="1"/>
  <c r="S57" i="5"/>
  <c r="I57" i="8" s="1"/>
  <c r="S58" i="5"/>
  <c r="I58" i="8" s="1"/>
  <c r="S59" i="5"/>
  <c r="I59" i="8" s="1"/>
  <c r="S60" i="5"/>
  <c r="I60" i="8" s="1"/>
  <c r="S61" i="5"/>
  <c r="I61" i="8" s="1"/>
  <c r="S62" i="5"/>
  <c r="I62" i="8" s="1"/>
  <c r="S63" i="5"/>
  <c r="I63" i="8" s="1"/>
  <c r="S64" i="5"/>
  <c r="I64" i="8" s="1"/>
  <c r="S65" i="5"/>
  <c r="I65" i="8" s="1"/>
  <c r="S66" i="5"/>
  <c r="I66" i="8" s="1"/>
  <c r="S67" i="5"/>
  <c r="I67" i="8" s="1"/>
  <c r="S68" i="5"/>
  <c r="I68" i="8" s="1"/>
  <c r="S69" i="5"/>
  <c r="I69" i="8" s="1"/>
  <c r="S70" i="5"/>
  <c r="I70" i="8" s="1"/>
  <c r="S71" i="5"/>
  <c r="I71" i="8" s="1"/>
  <c r="S72" i="5"/>
  <c r="I72" i="8" s="1"/>
  <c r="S73" i="5"/>
  <c r="I73" i="8" s="1"/>
  <c r="S74" i="5"/>
  <c r="I74" i="8" s="1"/>
  <c r="S75" i="5"/>
  <c r="I75" i="8" s="1"/>
  <c r="S76" i="5"/>
  <c r="I76" i="8" s="1"/>
  <c r="S77" i="5"/>
  <c r="I77" i="8" s="1"/>
  <c r="S78" i="5"/>
  <c r="I78" i="8" s="1"/>
  <c r="S79" i="5"/>
  <c r="I79" i="8" s="1"/>
  <c r="S80" i="5"/>
  <c r="I80" i="8" s="1"/>
  <c r="S81" i="5"/>
  <c r="I81" i="8" s="1"/>
  <c r="S82" i="5"/>
  <c r="I82" i="8" s="1"/>
  <c r="S83" i="5"/>
  <c r="I83" i="8" s="1"/>
  <c r="S84" i="5"/>
  <c r="I84" i="8" s="1"/>
  <c r="S85" i="5"/>
  <c r="I85" i="8" s="1"/>
  <c r="S86" i="5"/>
  <c r="I86" i="8" s="1"/>
  <c r="S87" i="5"/>
  <c r="I87" i="8" s="1"/>
  <c r="S88" i="5"/>
  <c r="I88" i="8" s="1"/>
  <c r="S89" i="5"/>
  <c r="I89" i="8" s="1"/>
  <c r="S90" i="5"/>
  <c r="I90" i="8" s="1"/>
  <c r="S91" i="5"/>
  <c r="I91" i="8" s="1"/>
  <c r="S92" i="5"/>
  <c r="I92" i="8" s="1"/>
  <c r="S93" i="5"/>
  <c r="I93" i="8" s="1"/>
  <c r="S94" i="5"/>
  <c r="I94" i="8" s="1"/>
  <c r="S95" i="5"/>
  <c r="I95" i="8" s="1"/>
  <c r="S96" i="5"/>
  <c r="I96" i="8" s="1"/>
  <c r="S97" i="5"/>
  <c r="I97" i="8" s="1"/>
  <c r="S98" i="5"/>
  <c r="I98" i="8" s="1"/>
  <c r="S99" i="5"/>
  <c r="I99" i="8" s="1"/>
  <c r="S100" i="5"/>
  <c r="I100" i="8" s="1"/>
  <c r="S101" i="5"/>
  <c r="I101" i="8" s="1"/>
  <c r="S102" i="5"/>
  <c r="I102" i="8" s="1"/>
  <c r="S103" i="5"/>
  <c r="I103" i="8" s="1"/>
  <c r="S104" i="5"/>
  <c r="I104" i="8" s="1"/>
  <c r="S105" i="5"/>
  <c r="I105" i="8" s="1"/>
  <c r="S106" i="5"/>
  <c r="I106" i="8" s="1"/>
  <c r="S107" i="5"/>
  <c r="I107" i="8" s="1"/>
  <c r="S108" i="5"/>
  <c r="I108" i="8" s="1"/>
  <c r="S109" i="5"/>
  <c r="I109" i="8" s="1"/>
  <c r="S110" i="5"/>
  <c r="I110" i="8" s="1"/>
  <c r="S111" i="5"/>
  <c r="I111" i="8" s="1"/>
  <c r="S112" i="5"/>
  <c r="I112" i="8" s="1"/>
  <c r="S113" i="5"/>
  <c r="I113" i="8" s="1"/>
  <c r="S114" i="5"/>
  <c r="I114" i="8" s="1"/>
  <c r="S115" i="5"/>
  <c r="I115" i="8" s="1"/>
  <c r="S116" i="5"/>
  <c r="I116" i="8" s="1"/>
  <c r="S117" i="5"/>
  <c r="I117" i="8" s="1"/>
  <c r="S118" i="5"/>
  <c r="I118" i="8" s="1"/>
  <c r="S119" i="5"/>
  <c r="I119" i="8" s="1"/>
  <c r="S120" i="5"/>
  <c r="I120" i="8" s="1"/>
  <c r="S121" i="5"/>
  <c r="I121" i="8" s="1"/>
  <c r="S122" i="5"/>
  <c r="I122" i="8" s="1"/>
  <c r="S123" i="5"/>
  <c r="I123" i="8" s="1"/>
  <c r="S124" i="5"/>
  <c r="I124" i="8" s="1"/>
  <c r="S125" i="5"/>
  <c r="I125" i="8" s="1"/>
  <c r="S126" i="5"/>
  <c r="I126" i="8" s="1"/>
  <c r="S127" i="5"/>
  <c r="I127" i="8" s="1"/>
  <c r="S128" i="5"/>
  <c r="I128" i="8" s="1"/>
  <c r="S129" i="5"/>
  <c r="I129" i="8" s="1"/>
  <c r="S130" i="5"/>
  <c r="I130" i="8" s="1"/>
  <c r="S131" i="5"/>
  <c r="I131" i="8" s="1"/>
  <c r="S132" i="5"/>
  <c r="I132" i="8" s="1"/>
  <c r="S133" i="5"/>
  <c r="I133" i="8" s="1"/>
  <c r="S134" i="5"/>
  <c r="I134" i="8" s="1"/>
  <c r="S135" i="5"/>
  <c r="I135" i="8" s="1"/>
  <c r="S136" i="5"/>
  <c r="I136" i="8" s="1"/>
  <c r="S137" i="5"/>
  <c r="I137" i="8" s="1"/>
  <c r="S138" i="5"/>
  <c r="I138" i="8" s="1"/>
  <c r="S139" i="5"/>
  <c r="I139" i="8" s="1"/>
  <c r="S140" i="5"/>
  <c r="I140" i="8" s="1"/>
  <c r="S141" i="5"/>
  <c r="I141" i="8" s="1"/>
  <c r="S142" i="5"/>
  <c r="I142" i="8" s="1"/>
  <c r="S143" i="5"/>
  <c r="I143" i="8" s="1"/>
  <c r="S144" i="5"/>
  <c r="I144" i="8" s="1"/>
  <c r="S145" i="5"/>
  <c r="I145" i="8" s="1"/>
  <c r="S146" i="5"/>
  <c r="I146" i="8" s="1"/>
  <c r="S147" i="5"/>
  <c r="I147" i="8" s="1"/>
  <c r="S148" i="5"/>
  <c r="I148" i="8" s="1"/>
  <c r="S149" i="5"/>
  <c r="I149" i="8" s="1"/>
  <c r="S150" i="5"/>
  <c r="I150" i="8" s="1"/>
  <c r="S151" i="5"/>
  <c r="I151" i="8" s="1"/>
  <c r="S152" i="5"/>
  <c r="I152" i="8" s="1"/>
  <c r="S153" i="5"/>
  <c r="I153" i="8" s="1"/>
  <c r="S154" i="5"/>
  <c r="I154" i="8" s="1"/>
  <c r="S155" i="5"/>
  <c r="I155" i="8" s="1"/>
  <c r="S156" i="5"/>
  <c r="I156" i="8" s="1"/>
  <c r="S157" i="5"/>
  <c r="I157" i="8" s="1"/>
  <c r="S158" i="5"/>
  <c r="I158" i="8" s="1"/>
  <c r="S159" i="5"/>
  <c r="I159" i="8" s="1"/>
  <c r="S160" i="5"/>
  <c r="I160" i="8" s="1"/>
  <c r="S161" i="5"/>
  <c r="I161" i="8" s="1"/>
  <c r="S162" i="5"/>
  <c r="I162" i="8" s="1"/>
  <c r="S163" i="5"/>
  <c r="I163" i="8" s="1"/>
  <c r="S164" i="5"/>
  <c r="I164" i="8" s="1"/>
  <c r="S165" i="5"/>
  <c r="I165" i="8" s="1"/>
  <c r="S166" i="5"/>
  <c r="I166" i="8" s="1"/>
  <c r="S167" i="5"/>
  <c r="I167" i="8" s="1"/>
  <c r="S168" i="5"/>
  <c r="I168" i="8" s="1"/>
  <c r="S169" i="5"/>
  <c r="I169" i="8" s="1"/>
  <c r="S170" i="5"/>
  <c r="I170" i="8" s="1"/>
  <c r="S171" i="5"/>
  <c r="I171" i="8" s="1"/>
  <c r="S172" i="5"/>
  <c r="I172" i="8" s="1"/>
  <c r="S173" i="5"/>
  <c r="I173" i="8" s="1"/>
  <c r="S174" i="5"/>
  <c r="I174" i="8" s="1"/>
  <c r="S175" i="5"/>
  <c r="I175" i="8" s="1"/>
  <c r="S176" i="5"/>
  <c r="I176" i="8" s="1"/>
  <c r="S177" i="5"/>
  <c r="I177" i="8" s="1"/>
  <c r="S178" i="5"/>
  <c r="I178" i="8" s="1"/>
  <c r="S179" i="5"/>
  <c r="I179" i="8" s="1"/>
  <c r="S180" i="5"/>
  <c r="I180" i="8" s="1"/>
  <c r="S181" i="5"/>
  <c r="I181" i="8" s="1"/>
  <c r="S182" i="5"/>
  <c r="I182" i="8" s="1"/>
  <c r="S183" i="5"/>
  <c r="I183" i="8" s="1"/>
  <c r="S184" i="5"/>
  <c r="I184" i="8" s="1"/>
  <c r="S185" i="5"/>
  <c r="I185" i="8" s="1"/>
  <c r="S186" i="5"/>
  <c r="I186" i="8" s="1"/>
  <c r="S187" i="5"/>
  <c r="I187" i="8" s="1"/>
  <c r="S188" i="5"/>
  <c r="I188" i="8" s="1"/>
  <c r="S189" i="5"/>
  <c r="I189" i="8" s="1"/>
  <c r="S190" i="5"/>
  <c r="I190" i="8" s="1"/>
  <c r="S191" i="5"/>
  <c r="I191" i="8" s="1"/>
  <c r="S192" i="5"/>
  <c r="I192" i="8" s="1"/>
  <c r="S193" i="5"/>
  <c r="I193" i="8" s="1"/>
  <c r="S194" i="5"/>
  <c r="I194" i="8" s="1"/>
  <c r="S195" i="5"/>
  <c r="I195" i="8" s="1"/>
  <c r="S196" i="5"/>
  <c r="I196" i="8" s="1"/>
  <c r="S197" i="5"/>
  <c r="I197" i="8" s="1"/>
  <c r="S198" i="5"/>
  <c r="I198" i="8" s="1"/>
  <c r="S199" i="5"/>
  <c r="I199" i="8" s="1"/>
  <c r="S200" i="5"/>
  <c r="I200" i="8" s="1"/>
  <c r="S201" i="5"/>
  <c r="I201" i="8" s="1"/>
  <c r="S202" i="5"/>
  <c r="I202" i="8" s="1"/>
  <c r="S203" i="5"/>
  <c r="I203" i="8" s="1"/>
  <c r="S204" i="5"/>
  <c r="I204" i="8" s="1"/>
  <c r="S205" i="5"/>
  <c r="I205" i="8" s="1"/>
  <c r="S206" i="5"/>
  <c r="I206" i="8" s="1"/>
  <c r="S207" i="5"/>
  <c r="I207" i="8" s="1"/>
  <c r="S208" i="5"/>
  <c r="I208" i="8" s="1"/>
  <c r="S209" i="5"/>
  <c r="I209" i="8" s="1"/>
  <c r="S210" i="5"/>
  <c r="I210" i="8" s="1"/>
  <c r="S211" i="5"/>
  <c r="I211" i="8" s="1"/>
  <c r="S212" i="5"/>
  <c r="I212" i="8" s="1"/>
  <c r="S213" i="5"/>
  <c r="I213" i="8" s="1"/>
  <c r="S214" i="5"/>
  <c r="I214" i="8" s="1"/>
  <c r="S215" i="5"/>
  <c r="I215" i="8" s="1"/>
  <c r="S216" i="5"/>
  <c r="I216" i="8" s="1"/>
  <c r="S217" i="5"/>
  <c r="I217" i="8" s="1"/>
  <c r="S218" i="5"/>
  <c r="I218" i="8" s="1"/>
  <c r="S219" i="5"/>
  <c r="I219" i="8" s="1"/>
  <c r="S220" i="5"/>
  <c r="I220" i="8" s="1"/>
  <c r="S221" i="5"/>
  <c r="I221" i="8" s="1"/>
  <c r="S222" i="5"/>
  <c r="I222" i="8" s="1"/>
  <c r="S223" i="5"/>
  <c r="I223" i="8" s="1"/>
  <c r="S224" i="5"/>
  <c r="I224" i="8" s="1"/>
  <c r="S225" i="5"/>
  <c r="I225" i="8" s="1"/>
  <c r="S226" i="5"/>
  <c r="I226" i="8" s="1"/>
  <c r="S227" i="5"/>
  <c r="I227" i="8" s="1"/>
  <c r="S228" i="5"/>
  <c r="I228" i="8" s="1"/>
  <c r="S229" i="5"/>
  <c r="I229" i="8" s="1"/>
  <c r="S230" i="5"/>
  <c r="I230" i="8" s="1"/>
  <c r="S231" i="5"/>
  <c r="I231" i="8" s="1"/>
  <c r="S232" i="5"/>
  <c r="I232" i="8" s="1"/>
  <c r="S233" i="5"/>
  <c r="I233" i="8" s="1"/>
  <c r="S234" i="5"/>
  <c r="I234" i="8" s="1"/>
  <c r="S235" i="5"/>
  <c r="I235" i="8" s="1"/>
  <c r="S236" i="5"/>
  <c r="I236" i="8" s="1"/>
  <c r="S237" i="5"/>
  <c r="I237" i="8" s="1"/>
  <c r="S238" i="5"/>
  <c r="I238" i="8" s="1"/>
  <c r="S239" i="5"/>
  <c r="I239" i="8" s="1"/>
  <c r="S240" i="5"/>
  <c r="I240" i="8" s="1"/>
  <c r="S241" i="5"/>
  <c r="I241" i="8" s="1"/>
  <c r="S242" i="5"/>
  <c r="I242" i="8" s="1"/>
  <c r="S243" i="5"/>
  <c r="I243" i="8" s="1"/>
  <c r="S244" i="5"/>
  <c r="I244" i="8" s="1"/>
  <c r="S245" i="5"/>
  <c r="I245" i="8" s="1"/>
  <c r="S246" i="5"/>
  <c r="I246" i="8" s="1"/>
  <c r="S247" i="5"/>
  <c r="I247" i="8" s="1"/>
  <c r="S248" i="5"/>
  <c r="I248" i="8" s="1"/>
  <c r="S249" i="5"/>
  <c r="I249" i="8" s="1"/>
  <c r="S250" i="5"/>
  <c r="I250" i="8" s="1"/>
  <c r="S251" i="5"/>
  <c r="I251" i="8" s="1"/>
  <c r="S252" i="5"/>
  <c r="I252" i="8" s="1"/>
  <c r="S253" i="5"/>
  <c r="I253" i="8" s="1"/>
  <c r="S254" i="5"/>
  <c r="I254" i="8" s="1"/>
  <c r="S255" i="5"/>
  <c r="I255" i="8" s="1"/>
  <c r="S256" i="5"/>
  <c r="I256" i="8" s="1"/>
  <c r="S257" i="5"/>
  <c r="I257" i="8" s="1"/>
  <c r="S258" i="5"/>
  <c r="I258" i="8" s="1"/>
  <c r="S259" i="5"/>
  <c r="I259" i="8" s="1"/>
  <c r="S260" i="5"/>
  <c r="I260" i="8" s="1"/>
  <c r="S261" i="5"/>
  <c r="I261" i="8" s="1"/>
  <c r="S262" i="5"/>
  <c r="I262" i="8" s="1"/>
  <c r="S263" i="5"/>
  <c r="I263" i="8" s="1"/>
  <c r="S264" i="5"/>
  <c r="I264" i="8" s="1"/>
  <c r="S265" i="5"/>
  <c r="I265" i="8" s="1"/>
  <c r="S266" i="5"/>
  <c r="I266" i="8" s="1"/>
  <c r="S267" i="5"/>
  <c r="I267" i="8" s="1"/>
  <c r="S268" i="5"/>
  <c r="I268" i="8" s="1"/>
  <c r="S269" i="5"/>
  <c r="I269" i="8" s="1"/>
  <c r="S270" i="5"/>
  <c r="I270" i="8" s="1"/>
  <c r="S271" i="5"/>
  <c r="I271" i="8" s="1"/>
  <c r="S272" i="5"/>
  <c r="I272" i="8" s="1"/>
  <c r="S273" i="5"/>
  <c r="I273" i="8" s="1"/>
  <c r="S274" i="5"/>
  <c r="I274" i="8" s="1"/>
  <c r="S275" i="5"/>
  <c r="I275" i="8" s="1"/>
  <c r="S276" i="5"/>
  <c r="I276" i="8" s="1"/>
  <c r="S277" i="5"/>
  <c r="I277" i="8" s="1"/>
  <c r="S278" i="5"/>
  <c r="I278" i="8" s="1"/>
  <c r="S279" i="5"/>
  <c r="I279" i="8" s="1"/>
  <c r="S280" i="5"/>
  <c r="I280" i="8" s="1"/>
  <c r="S281" i="5"/>
  <c r="I281" i="8" s="1"/>
  <c r="S282" i="5"/>
  <c r="I282" i="8" s="1"/>
  <c r="S283" i="5"/>
  <c r="I283" i="8" s="1"/>
  <c r="S284" i="5"/>
  <c r="I284" i="8" s="1"/>
  <c r="S285" i="5"/>
  <c r="I285" i="8" s="1"/>
  <c r="S286" i="5"/>
  <c r="I286" i="8" s="1"/>
  <c r="S287" i="5"/>
  <c r="I287" i="8" s="1"/>
  <c r="S288" i="5"/>
  <c r="I288" i="8" s="1"/>
  <c r="S289" i="5"/>
  <c r="I289" i="8" s="1"/>
  <c r="S290" i="5"/>
  <c r="I290" i="8" s="1"/>
  <c r="S291" i="5"/>
  <c r="I291" i="8" s="1"/>
  <c r="S292" i="5"/>
  <c r="I292" i="8" s="1"/>
  <c r="S293" i="5"/>
  <c r="I293" i="8" s="1"/>
  <c r="S294" i="5"/>
  <c r="I294" i="8" s="1"/>
  <c r="S295" i="5"/>
  <c r="I295" i="8" s="1"/>
  <c r="S296" i="5"/>
  <c r="I296" i="8" s="1"/>
  <c r="S297" i="5"/>
  <c r="I297" i="8" s="1"/>
  <c r="S298" i="5"/>
  <c r="I298" i="8" s="1"/>
  <c r="S299" i="5"/>
  <c r="I299" i="8" s="1"/>
  <c r="S300" i="5"/>
  <c r="I300" i="8" s="1"/>
  <c r="S301" i="5"/>
  <c r="I301" i="8" s="1"/>
  <c r="S302" i="5"/>
  <c r="I302" i="8" s="1"/>
  <c r="S303" i="5"/>
  <c r="I303" i="8" s="1"/>
  <c r="S304" i="5"/>
  <c r="I304" i="8" s="1"/>
  <c r="S305" i="5"/>
  <c r="I305" i="8" s="1"/>
  <c r="S306" i="5"/>
  <c r="I306" i="8" s="1"/>
  <c r="S307" i="5"/>
  <c r="I307" i="8" s="1"/>
  <c r="S308" i="5"/>
  <c r="I308" i="8" s="1"/>
  <c r="S309" i="5"/>
  <c r="I309" i="8" s="1"/>
  <c r="S310" i="5"/>
  <c r="I310" i="8" s="1"/>
  <c r="S311" i="5"/>
  <c r="I311" i="8" s="1"/>
  <c r="S312" i="5"/>
  <c r="I312" i="8" s="1"/>
  <c r="S313" i="5"/>
  <c r="I313" i="8" s="1"/>
  <c r="S314" i="5"/>
  <c r="I314" i="8" s="1"/>
  <c r="S315" i="5"/>
  <c r="I315" i="8" s="1"/>
  <c r="S316" i="5"/>
  <c r="I316" i="8" s="1"/>
  <c r="S317" i="5"/>
  <c r="I317" i="8" s="1"/>
  <c r="S318" i="5"/>
  <c r="I318" i="8" s="1"/>
  <c r="S319" i="5"/>
  <c r="I319" i="8" s="1"/>
  <c r="S320" i="5"/>
  <c r="I320" i="8" s="1"/>
  <c r="S321" i="5"/>
  <c r="I321" i="8" s="1"/>
  <c r="S2" i="5"/>
  <c r="I2" i="8" s="1"/>
  <c r="P321" i="5"/>
  <c r="L321" i="5"/>
  <c r="P320" i="5"/>
  <c r="L320" i="5"/>
  <c r="P319" i="5"/>
  <c r="L319" i="5"/>
  <c r="P318" i="5"/>
  <c r="L318" i="5"/>
  <c r="P317" i="5"/>
  <c r="L317" i="5"/>
  <c r="P316" i="5"/>
  <c r="L316" i="5"/>
  <c r="P315" i="5"/>
  <c r="L315" i="5"/>
  <c r="P314" i="5"/>
  <c r="L314" i="5"/>
  <c r="P313" i="5"/>
  <c r="L313" i="5"/>
  <c r="P312" i="5"/>
  <c r="L312" i="5"/>
  <c r="P311" i="5"/>
  <c r="L311" i="5"/>
  <c r="P310" i="5"/>
  <c r="L310" i="5"/>
  <c r="P309" i="5"/>
  <c r="L309" i="5"/>
  <c r="P308" i="5"/>
  <c r="L308" i="5"/>
  <c r="P307" i="5"/>
  <c r="L307" i="5"/>
  <c r="P306" i="5"/>
  <c r="L306" i="5"/>
  <c r="P305" i="5"/>
  <c r="L305" i="5"/>
  <c r="P304" i="5"/>
  <c r="L304" i="5"/>
  <c r="P303" i="5"/>
  <c r="L303" i="5"/>
  <c r="P302" i="5"/>
  <c r="L302" i="5"/>
  <c r="P301" i="5"/>
  <c r="L301" i="5"/>
  <c r="P300" i="5"/>
  <c r="L300" i="5"/>
  <c r="P299" i="5"/>
  <c r="L299" i="5"/>
  <c r="P298" i="5"/>
  <c r="L298" i="5"/>
  <c r="P297" i="5"/>
  <c r="L297" i="5"/>
  <c r="P296" i="5"/>
  <c r="L296" i="5"/>
  <c r="P295" i="5"/>
  <c r="L295" i="5"/>
  <c r="P294" i="5"/>
  <c r="L294" i="5"/>
  <c r="P293" i="5"/>
  <c r="L293" i="5"/>
  <c r="P292" i="5"/>
  <c r="L292" i="5"/>
  <c r="P291" i="5"/>
  <c r="L291" i="5"/>
  <c r="P290" i="5"/>
  <c r="L290" i="5"/>
  <c r="P289" i="5"/>
  <c r="L289" i="5"/>
  <c r="P288" i="5"/>
  <c r="L288" i="5"/>
  <c r="P287" i="5"/>
  <c r="L287" i="5"/>
  <c r="P286" i="5"/>
  <c r="L286" i="5"/>
  <c r="P285" i="5"/>
  <c r="L285" i="5"/>
  <c r="P284" i="5"/>
  <c r="L284" i="5"/>
  <c r="P283" i="5"/>
  <c r="L283" i="5"/>
  <c r="P282" i="5"/>
  <c r="L282" i="5"/>
  <c r="P281" i="5"/>
  <c r="L281" i="5"/>
  <c r="P280" i="5"/>
  <c r="L280" i="5"/>
  <c r="P279" i="5"/>
  <c r="L279" i="5"/>
  <c r="P278" i="5"/>
  <c r="L278" i="5"/>
  <c r="P277" i="5"/>
  <c r="L277" i="5"/>
  <c r="P276" i="5"/>
  <c r="L276" i="5"/>
  <c r="P275" i="5"/>
  <c r="L275" i="5"/>
  <c r="P274" i="5"/>
  <c r="L274" i="5"/>
  <c r="P273" i="5"/>
  <c r="L273" i="5"/>
  <c r="P272" i="5"/>
  <c r="L272" i="5"/>
  <c r="P271" i="5"/>
  <c r="L271" i="5"/>
  <c r="P270" i="5"/>
  <c r="L270" i="5"/>
  <c r="P269" i="5"/>
  <c r="L269" i="5"/>
  <c r="P268" i="5"/>
  <c r="L268" i="5"/>
  <c r="P267" i="5"/>
  <c r="L267" i="5"/>
  <c r="P266" i="5"/>
  <c r="L266" i="5"/>
  <c r="P265" i="5"/>
  <c r="L265" i="5"/>
  <c r="P264" i="5"/>
  <c r="L264" i="5"/>
  <c r="P263" i="5"/>
  <c r="L263" i="5"/>
  <c r="P262" i="5"/>
  <c r="L262" i="5"/>
  <c r="P261" i="5"/>
  <c r="L261" i="5"/>
  <c r="P260" i="5"/>
  <c r="L260" i="5"/>
  <c r="P259" i="5"/>
  <c r="L259" i="5"/>
  <c r="P258" i="5"/>
  <c r="L258" i="5"/>
  <c r="P257" i="5"/>
  <c r="L257" i="5"/>
  <c r="P256" i="5"/>
  <c r="L256" i="5"/>
  <c r="P255" i="5"/>
  <c r="L255" i="5"/>
  <c r="P254" i="5"/>
  <c r="L254" i="5"/>
  <c r="P253" i="5"/>
  <c r="L253" i="5"/>
  <c r="P252" i="5"/>
  <c r="L252" i="5"/>
  <c r="P251" i="5"/>
  <c r="L251" i="5"/>
  <c r="P250" i="5"/>
  <c r="L250" i="5"/>
  <c r="P249" i="5"/>
  <c r="L249" i="5"/>
  <c r="P248" i="5"/>
  <c r="L248" i="5"/>
  <c r="P247" i="5"/>
  <c r="L247" i="5"/>
  <c r="P246" i="5"/>
  <c r="L246" i="5"/>
  <c r="P245" i="5"/>
  <c r="L245" i="5"/>
  <c r="P244" i="5"/>
  <c r="L244" i="5"/>
  <c r="P243" i="5"/>
  <c r="L243" i="5"/>
  <c r="P242" i="5"/>
  <c r="L242" i="5"/>
  <c r="P241" i="5"/>
  <c r="L241" i="5"/>
  <c r="P240" i="5"/>
  <c r="L240" i="5"/>
  <c r="P239" i="5"/>
  <c r="L239" i="5"/>
  <c r="P238" i="5"/>
  <c r="L238" i="5"/>
  <c r="P237" i="5"/>
  <c r="L237" i="5"/>
  <c r="P236" i="5"/>
  <c r="L236" i="5"/>
  <c r="P235" i="5"/>
  <c r="L235" i="5"/>
  <c r="P234" i="5"/>
  <c r="L234" i="5"/>
  <c r="P233" i="5"/>
  <c r="L233" i="5"/>
  <c r="P232" i="5"/>
  <c r="L232" i="5"/>
  <c r="P231" i="5"/>
  <c r="L231" i="5"/>
  <c r="P230" i="5"/>
  <c r="L230" i="5"/>
  <c r="P229" i="5"/>
  <c r="L229" i="5"/>
  <c r="P228" i="5"/>
  <c r="L228" i="5"/>
  <c r="P227" i="5"/>
  <c r="L227" i="5"/>
  <c r="P226" i="5"/>
  <c r="L226" i="5"/>
  <c r="P225" i="5"/>
  <c r="L225" i="5"/>
  <c r="P224" i="5"/>
  <c r="L224" i="5"/>
  <c r="P223" i="5"/>
  <c r="L223" i="5"/>
  <c r="P222" i="5"/>
  <c r="L222" i="5"/>
  <c r="P221" i="5"/>
  <c r="L221" i="5"/>
  <c r="P220" i="5"/>
  <c r="L220" i="5"/>
  <c r="P219" i="5"/>
  <c r="L219" i="5"/>
  <c r="P218" i="5"/>
  <c r="L218" i="5"/>
  <c r="P217" i="5"/>
  <c r="L217" i="5"/>
  <c r="P216" i="5"/>
  <c r="L216" i="5"/>
  <c r="P215" i="5"/>
  <c r="L215" i="5"/>
  <c r="P214" i="5"/>
  <c r="L214" i="5"/>
  <c r="P213" i="5"/>
  <c r="L213" i="5"/>
  <c r="P212" i="5"/>
  <c r="L212" i="5"/>
  <c r="P211" i="5"/>
  <c r="L211" i="5"/>
  <c r="P210" i="5"/>
  <c r="L210" i="5"/>
  <c r="P209" i="5"/>
  <c r="L209" i="5"/>
  <c r="P208" i="5"/>
  <c r="L208" i="5"/>
  <c r="P207" i="5"/>
  <c r="L207" i="5"/>
  <c r="P206" i="5"/>
  <c r="L206" i="5"/>
  <c r="P205" i="5"/>
  <c r="L205" i="5"/>
  <c r="P204" i="5"/>
  <c r="L204" i="5"/>
  <c r="P203" i="5"/>
  <c r="L203" i="5"/>
  <c r="P202" i="5"/>
  <c r="L202" i="5"/>
  <c r="P201" i="5"/>
  <c r="L201" i="5"/>
  <c r="P200" i="5"/>
  <c r="L200" i="5"/>
  <c r="P199" i="5"/>
  <c r="L199" i="5"/>
  <c r="P198" i="5"/>
  <c r="L198" i="5"/>
  <c r="P197" i="5"/>
  <c r="L197" i="5"/>
  <c r="P196" i="5"/>
  <c r="L196" i="5"/>
  <c r="P195" i="5"/>
  <c r="L195" i="5"/>
  <c r="P194" i="5"/>
  <c r="L194" i="5"/>
  <c r="P193" i="5"/>
  <c r="L193" i="5"/>
  <c r="P192" i="5"/>
  <c r="L192" i="5"/>
  <c r="P191" i="5"/>
  <c r="L191" i="5"/>
  <c r="P190" i="5"/>
  <c r="L190" i="5"/>
  <c r="P189" i="5"/>
  <c r="L189" i="5"/>
  <c r="P188" i="5"/>
  <c r="L188" i="5"/>
  <c r="P187" i="5"/>
  <c r="L187" i="5"/>
  <c r="P186" i="5"/>
  <c r="L186" i="5"/>
  <c r="P185" i="5"/>
  <c r="L185" i="5"/>
  <c r="P184" i="5"/>
  <c r="L184" i="5"/>
  <c r="P183" i="5"/>
  <c r="L183" i="5"/>
  <c r="P182" i="5"/>
  <c r="L182" i="5"/>
  <c r="P181" i="5"/>
  <c r="L181" i="5"/>
  <c r="P180" i="5"/>
  <c r="L180" i="5"/>
  <c r="P179" i="5"/>
  <c r="L179" i="5"/>
  <c r="P178" i="5"/>
  <c r="L178" i="5"/>
  <c r="P177" i="5"/>
  <c r="L177" i="5"/>
  <c r="P176" i="5"/>
  <c r="L176" i="5"/>
  <c r="P175" i="5"/>
  <c r="L175" i="5"/>
  <c r="P174" i="5"/>
  <c r="L174" i="5"/>
  <c r="P173" i="5"/>
  <c r="L173" i="5"/>
  <c r="P172" i="5"/>
  <c r="L172" i="5"/>
  <c r="P171" i="5"/>
  <c r="L171" i="5"/>
  <c r="P170" i="5"/>
  <c r="L170" i="5"/>
  <c r="P169" i="5"/>
  <c r="L169" i="5"/>
  <c r="P168" i="5"/>
  <c r="L168" i="5"/>
  <c r="P167" i="5"/>
  <c r="L167" i="5"/>
  <c r="P166" i="5"/>
  <c r="L166" i="5"/>
  <c r="P165" i="5"/>
  <c r="L165" i="5"/>
  <c r="P164" i="5"/>
  <c r="L164" i="5"/>
  <c r="P163" i="5"/>
  <c r="L163" i="5"/>
  <c r="P162" i="5"/>
  <c r="L162" i="5"/>
  <c r="P161" i="5"/>
  <c r="L161" i="5"/>
  <c r="P160" i="5"/>
  <c r="L160" i="5"/>
  <c r="P159" i="5"/>
  <c r="L159" i="5"/>
  <c r="P158" i="5"/>
  <c r="L158" i="5"/>
  <c r="P157" i="5"/>
  <c r="L157" i="5"/>
  <c r="P156" i="5"/>
  <c r="L156" i="5"/>
  <c r="P155" i="5"/>
  <c r="L155" i="5"/>
  <c r="P154" i="5"/>
  <c r="L154" i="5"/>
  <c r="P153" i="5"/>
  <c r="L153" i="5"/>
  <c r="P152" i="5"/>
  <c r="L152" i="5"/>
  <c r="P151" i="5"/>
  <c r="L151" i="5"/>
  <c r="P150" i="5"/>
  <c r="L150" i="5"/>
  <c r="P149" i="5"/>
  <c r="L149" i="5"/>
  <c r="P148" i="5"/>
  <c r="L148" i="5"/>
  <c r="P147" i="5"/>
  <c r="L147" i="5"/>
  <c r="P146" i="5"/>
  <c r="L146" i="5"/>
  <c r="P145" i="5"/>
  <c r="L145" i="5"/>
  <c r="P144" i="5"/>
  <c r="L144" i="5"/>
  <c r="P143" i="5"/>
  <c r="L143" i="5"/>
  <c r="P142" i="5"/>
  <c r="L142" i="5"/>
  <c r="P141" i="5"/>
  <c r="L141" i="5"/>
  <c r="P140" i="5"/>
  <c r="L140" i="5"/>
  <c r="P139" i="5"/>
  <c r="L139" i="5"/>
  <c r="P138" i="5"/>
  <c r="L138" i="5"/>
  <c r="P137" i="5"/>
  <c r="L137" i="5"/>
  <c r="P136" i="5"/>
  <c r="L136" i="5"/>
  <c r="P135" i="5"/>
  <c r="L135" i="5"/>
  <c r="P134" i="5"/>
  <c r="L134" i="5"/>
  <c r="P133" i="5"/>
  <c r="L133" i="5"/>
  <c r="P132" i="5"/>
  <c r="L132" i="5"/>
  <c r="P131" i="5"/>
  <c r="L131" i="5"/>
  <c r="P130" i="5"/>
  <c r="L130" i="5"/>
  <c r="P129" i="5"/>
  <c r="L129" i="5"/>
  <c r="P128" i="5"/>
  <c r="L128" i="5"/>
  <c r="P127" i="5"/>
  <c r="L127" i="5"/>
  <c r="P126" i="5"/>
  <c r="L126" i="5"/>
  <c r="P125" i="5"/>
  <c r="L125" i="5"/>
  <c r="P124" i="5"/>
  <c r="L124" i="5"/>
  <c r="P123" i="5"/>
  <c r="L123" i="5"/>
  <c r="P122" i="5"/>
  <c r="L122" i="5"/>
  <c r="P121" i="5"/>
  <c r="L121" i="5"/>
  <c r="P120" i="5"/>
  <c r="L120" i="5"/>
  <c r="P119" i="5"/>
  <c r="L119" i="5"/>
  <c r="P118" i="5"/>
  <c r="L118" i="5"/>
  <c r="P117" i="5"/>
  <c r="L117" i="5"/>
  <c r="P116" i="5"/>
  <c r="L116" i="5"/>
  <c r="P115" i="5"/>
  <c r="L115" i="5"/>
  <c r="P114" i="5"/>
  <c r="L114" i="5"/>
  <c r="P113" i="5"/>
  <c r="L113" i="5"/>
  <c r="P112" i="5"/>
  <c r="L112" i="5"/>
  <c r="P111" i="5"/>
  <c r="L111" i="5"/>
  <c r="P110" i="5"/>
  <c r="L110" i="5"/>
  <c r="P109" i="5"/>
  <c r="L109" i="5"/>
  <c r="P108" i="5"/>
  <c r="L108" i="5"/>
  <c r="P107" i="5"/>
  <c r="L107" i="5"/>
  <c r="P106" i="5"/>
  <c r="L106" i="5"/>
  <c r="P105" i="5"/>
  <c r="L105" i="5"/>
  <c r="P104" i="5"/>
  <c r="L104" i="5"/>
  <c r="P103" i="5"/>
  <c r="L103" i="5"/>
  <c r="P102" i="5"/>
  <c r="L102" i="5"/>
  <c r="P101" i="5"/>
  <c r="L101" i="5"/>
  <c r="P100" i="5"/>
  <c r="L100" i="5"/>
  <c r="P99" i="5"/>
  <c r="L99" i="5"/>
  <c r="P98" i="5"/>
  <c r="L98" i="5"/>
  <c r="P97" i="5"/>
  <c r="L97" i="5"/>
  <c r="P96" i="5"/>
  <c r="L96" i="5"/>
  <c r="P95" i="5"/>
  <c r="L95" i="5"/>
  <c r="P94" i="5"/>
  <c r="L94" i="5"/>
  <c r="P93" i="5"/>
  <c r="L93" i="5"/>
  <c r="P92" i="5"/>
  <c r="L92" i="5"/>
  <c r="P91" i="5"/>
  <c r="L91" i="5"/>
  <c r="P90" i="5"/>
  <c r="L90" i="5"/>
  <c r="P89" i="5"/>
  <c r="L89" i="5"/>
  <c r="P88" i="5"/>
  <c r="L88" i="5"/>
  <c r="P87" i="5"/>
  <c r="L87" i="5"/>
  <c r="P86" i="5"/>
  <c r="L86" i="5"/>
  <c r="P85" i="5"/>
  <c r="L85" i="5"/>
  <c r="P84" i="5"/>
  <c r="L84" i="5"/>
  <c r="P83" i="5"/>
  <c r="L83" i="5"/>
  <c r="P82" i="5"/>
  <c r="L82" i="5"/>
  <c r="P81" i="5"/>
  <c r="L81" i="5"/>
  <c r="P80" i="5"/>
  <c r="L80" i="5"/>
  <c r="P79" i="5"/>
  <c r="L79" i="5"/>
  <c r="P78" i="5"/>
  <c r="L78" i="5"/>
  <c r="P77" i="5"/>
  <c r="L77" i="5"/>
  <c r="P76" i="5"/>
  <c r="L76" i="5"/>
  <c r="P75" i="5"/>
  <c r="L75" i="5"/>
  <c r="P74" i="5"/>
  <c r="L74" i="5"/>
  <c r="P73" i="5"/>
  <c r="L73" i="5"/>
  <c r="P72" i="5"/>
  <c r="L72" i="5"/>
  <c r="P71" i="5"/>
  <c r="L71" i="5"/>
  <c r="P70" i="5"/>
  <c r="L70" i="5"/>
  <c r="P69" i="5"/>
  <c r="L69" i="5"/>
  <c r="P68" i="5"/>
  <c r="L68" i="5"/>
  <c r="P67" i="5"/>
  <c r="L67" i="5"/>
  <c r="P66" i="5"/>
  <c r="L66" i="5"/>
  <c r="P65" i="5"/>
  <c r="L65" i="5"/>
  <c r="P64" i="5"/>
  <c r="L64" i="5"/>
  <c r="P63" i="5"/>
  <c r="L63" i="5"/>
  <c r="P62" i="5"/>
  <c r="L62" i="5"/>
  <c r="P61" i="5"/>
  <c r="L61" i="5"/>
  <c r="P60" i="5"/>
  <c r="L60" i="5"/>
  <c r="P59" i="5"/>
  <c r="L59" i="5"/>
  <c r="P58" i="5"/>
  <c r="L58" i="5"/>
  <c r="P57" i="5"/>
  <c r="L57" i="5"/>
  <c r="P56" i="5"/>
  <c r="L56" i="5"/>
  <c r="P55" i="5"/>
  <c r="L55" i="5"/>
  <c r="P54" i="5"/>
  <c r="L54" i="5"/>
  <c r="P53" i="5"/>
  <c r="L53" i="5"/>
  <c r="P52" i="5"/>
  <c r="L52" i="5"/>
  <c r="P51" i="5"/>
  <c r="L51" i="5"/>
  <c r="P50" i="5"/>
  <c r="L50" i="5"/>
  <c r="P49" i="5"/>
  <c r="L49" i="5"/>
  <c r="P48" i="5"/>
  <c r="L48" i="5"/>
  <c r="P47" i="5"/>
  <c r="L47" i="5"/>
  <c r="P46" i="5"/>
  <c r="L46" i="5"/>
  <c r="P45" i="5"/>
  <c r="L45" i="5"/>
  <c r="P44" i="5"/>
  <c r="L44" i="5"/>
  <c r="P43" i="5"/>
  <c r="L43" i="5"/>
  <c r="P42" i="5"/>
  <c r="L42" i="5"/>
  <c r="P41" i="5"/>
  <c r="L41" i="5"/>
  <c r="P40" i="5"/>
  <c r="L40" i="5"/>
  <c r="P39" i="5"/>
  <c r="L39" i="5"/>
  <c r="P38" i="5"/>
  <c r="L38" i="5"/>
  <c r="P37" i="5"/>
  <c r="L37" i="5"/>
  <c r="P36" i="5"/>
  <c r="L36" i="5"/>
  <c r="P35" i="5"/>
  <c r="L35" i="5"/>
  <c r="P34" i="5"/>
  <c r="L34" i="5"/>
  <c r="P33" i="5"/>
  <c r="L33" i="5"/>
  <c r="P32" i="5"/>
  <c r="L32" i="5"/>
  <c r="P31" i="5"/>
  <c r="L31" i="5"/>
  <c r="P30" i="5"/>
  <c r="L30" i="5"/>
  <c r="P29" i="5"/>
  <c r="L29" i="5"/>
  <c r="P28" i="5"/>
  <c r="L28" i="5"/>
  <c r="P27" i="5"/>
  <c r="L27" i="5"/>
  <c r="P26" i="5"/>
  <c r="L26" i="5"/>
  <c r="P25" i="5"/>
  <c r="L25" i="5"/>
  <c r="P24" i="5"/>
  <c r="L24" i="5"/>
  <c r="P23" i="5"/>
  <c r="L23" i="5"/>
  <c r="P22" i="5"/>
  <c r="L22" i="5"/>
  <c r="P21" i="5"/>
  <c r="L21" i="5"/>
  <c r="P20" i="5"/>
  <c r="L20" i="5"/>
  <c r="P19" i="5"/>
  <c r="L19" i="5"/>
  <c r="P18" i="5"/>
  <c r="L18" i="5"/>
  <c r="P17" i="5"/>
  <c r="L17" i="5"/>
  <c r="P16" i="5"/>
  <c r="L16" i="5"/>
  <c r="P15" i="5"/>
  <c r="L15" i="5"/>
  <c r="P14" i="5"/>
  <c r="L14" i="5"/>
  <c r="P13" i="5"/>
  <c r="L13" i="5"/>
  <c r="P12" i="5"/>
  <c r="L12" i="5"/>
  <c r="P11" i="5"/>
  <c r="L11" i="5"/>
  <c r="P10" i="5"/>
  <c r="L10" i="5"/>
  <c r="P9" i="5"/>
  <c r="L9" i="5"/>
  <c r="P8" i="5"/>
  <c r="L8" i="5"/>
  <c r="P7" i="5"/>
  <c r="L7" i="5"/>
  <c r="P6" i="5"/>
  <c r="L6" i="5"/>
  <c r="P5" i="5"/>
  <c r="L5" i="5"/>
  <c r="P4" i="5"/>
  <c r="L4" i="5"/>
  <c r="P3" i="5"/>
  <c r="L3" i="5"/>
  <c r="P2" i="5"/>
  <c r="L2" i="5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2" i="8"/>
  <c r="P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2" i="3"/>
</calcChain>
</file>

<file path=xl/sharedStrings.xml><?xml version="1.0" encoding="utf-8"?>
<sst xmlns="http://schemas.openxmlformats.org/spreadsheetml/2006/main" count="2149" uniqueCount="170">
  <si>
    <t>Model Name</t>
  </si>
  <si>
    <t>Dependent Variable</t>
  </si>
  <si>
    <t>Independent Variables</t>
  </si>
  <si>
    <t>R-squared</t>
  </si>
  <si>
    <t>Adj R-squared</t>
  </si>
  <si>
    <t>F-statistic</t>
  </si>
  <si>
    <t>Key coefficient</t>
  </si>
  <si>
    <t>P-value</t>
  </si>
  <si>
    <t>Significant Variables</t>
  </si>
  <si>
    <t>Business Usefulness</t>
  </si>
  <si>
    <t>Limitation</t>
  </si>
  <si>
    <t>Decision</t>
  </si>
  <si>
    <t>Simple Regression - Footfall</t>
  </si>
  <si>
    <t>monthly_sales</t>
  </si>
  <si>
    <t>footfall</t>
  </si>
  <si>
    <t>Useful because footfall directly represents customer traffic and has a clear business link to sales.</t>
  </si>
  <si>
    <t>Does not control for marketing, inventory, staffing, customer rating, holiday months or store type.</t>
  </si>
  <si>
    <t>Useful simple model</t>
  </si>
  <si>
    <t>Simple Regression - Marketing Spend</t>
  </si>
  <si>
    <t>marketing_spend</t>
  </si>
  <si>
    <t>Useful for understanding whether higher marketing spend is associated with higher sales, but it does not explain sales as strongly as footfall.</t>
  </si>
  <si>
    <t>Does not show whether marketing remains important after controlling for footfall and other factors.</t>
  </si>
  <si>
    <t>Simple Regression - Avg Discount</t>
  </si>
  <si>
    <t>avg_discount_pct</t>
  </si>
  <si>
    <t>None at 5% significance ( as p-value &gt; 0.05)</t>
  </si>
  <si>
    <t>Limited usefulness because discounting alone explains very little variation in monthly sales.</t>
  </si>
  <si>
    <t>Discounts may reflect promotional pressure or weak demand, so the coefficient should not be over-interpreted.</t>
  </si>
  <si>
    <t>Weak simple model</t>
  </si>
  <si>
    <t>Multiple Regression</t>
  </si>
  <si>
    <t>footfall,marketing_spend,avg_discount_pct,inventory_availability_pct,clean_customer_rating,staff_count,holiday_flag,store_type_high_street,store_type_mall,store_type_residential</t>
  </si>
  <si>
    <t>marketing_spend, footfall, avg_discount_pct, inventory_availability_pct, clean_customer_rating, staff_count, holiday_flag, store_type_residential</t>
  </si>
  <si>
    <t>Most useful model because it compares several business drivers together and has the strongest explanatory power.</t>
  </si>
  <si>
    <t>Still shows association, not causation, and may miss store size, local demand, product mix, and market conditions.</t>
  </si>
  <si>
    <t>Final selected model</t>
  </si>
  <si>
    <t>store_id</t>
  </si>
  <si>
    <t>month</t>
  </si>
  <si>
    <t>region</t>
  </si>
  <si>
    <t>store_type</t>
  </si>
  <si>
    <t>staff_count</t>
  </si>
  <si>
    <t>inventory_availability_pct</t>
  </si>
  <si>
    <t>competitor_distance_km</t>
  </si>
  <si>
    <t>clean_competitor_distance_km</t>
  </si>
  <si>
    <t>competitor_distance_missing_flag</t>
  </si>
  <si>
    <t>holiday_flag</t>
  </si>
  <si>
    <t>customer_rating</t>
  </si>
  <si>
    <t>clean_customer_rating</t>
  </si>
  <si>
    <t>customer_rating_missing_flag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</si>
  <si>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</si>
  <si>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</si>
  <si>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</si>
  <si>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</si>
  <si>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</si>
  <si>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</si>
  <si>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</si>
  <si>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</si>
  <si>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</si>
  <si>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</si>
  <si>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</si>
  <si>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</si>
  <si>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</si>
  <si>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</si>
  <si>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</si>
  <si>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</si>
  <si>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</si>
  <si>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</si>
  <si>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</si>
  <si>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</si>
  <si>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</si>
  <si>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</si>
  <si>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</si>
  <si>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</si>
  <si>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</si>
  <si>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</si>
  <si>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</si>
  <si>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</si>
  <si>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</si>
  <si>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</si>
  <si>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</si>
  <si>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</si>
  <si>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</si>
  <si>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</si>
  <si>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</si>
  <si>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</si>
  <si>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</si>
  <si>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</si>
  <si>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</si>
  <si>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</si>
  <si>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</si>
  <si>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</si>
  <si>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</si>
  <si>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</si>
  <si>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</si>
  <si>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</si>
  <si>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</si>
  <si>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</si>
  <si>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</si>
  <si>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</si>
  <si>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</si>
  <si>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</si>
  <si>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</si>
  <si>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</si>
  <si>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</si>
  <si>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</si>
  <si>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</si>
  <si>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</si>
  <si>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</si>
  <si>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</si>
  <si>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</si>
  <si>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</si>
  <si>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</si>
  <si>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</si>
  <si>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</si>
  <si>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</si>
  <si>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</si>
  <si>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</si>
  <si>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</si>
  <si>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</si>
  <si>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</si>
  <si>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</si>
  <si>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</si>
  <si>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</si>
  <si>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</si>
  <si>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</si>
  <si>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</si>
  <si>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</si>
  <si>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</si>
  <si>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</si>
  <si>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</si>
  <si>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</si>
  <si>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</si>
  <si>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</si>
  <si>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</si>
  <si>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</si>
  <si>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</si>
  <si>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</si>
  <si>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</si>
  <si>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store_type_high_street</t>
  </si>
  <si>
    <t>store_type_mall</t>
  </si>
  <si>
    <t>store_type_residential</t>
  </si>
  <si>
    <t>region_north</t>
  </si>
  <si>
    <t>region_south</t>
  </si>
  <si>
    <t>region_west</t>
  </si>
  <si>
    <t>region_east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</si>
  <si>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</si>
  <si>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</si>
  <si>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</si>
  <si>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</si>
  <si>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</si>
  <si>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</si>
  <si>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</si>
  <si>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</si>
  <si>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</si>
  <si>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</si>
  <si>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</si>
  <si>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</si>
  <si>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</si>
  <si>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</si>
  <si>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</si>
  <si>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</si>
  <si>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</si>
  <si>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</si>
  <si>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</si>
  <si>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</si>
  <si>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</si>
  <si>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</si>
  <si>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</si>
  <si>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</si>
  <si>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</si>
  <si>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monthly_sales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</si>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</sst>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9">
    <font>
      <sz val="11"/>
      <name val="Carlito"/>
    </font>
    <font>
      <b/>
      <sz val="11"/>
      <color rgb="FFFFFFFF"/>
      <name val="Calibri"/>
      <scheme val="minor"/>
    </font>
    <font>
      <sz val="11"/>
      <name val="Calibri"/>
      <scheme val="minor"/>
    </font>
    <font>
      <i/>
      <sz val="11"/>
      <name val="Carlito"/>
    </font>
    <font>
      <b/>
      <sz val="11"/>
      <color rgb="FFFFFFFF"/>
      <name val="Calibri"/>
      <family val="2"/>
      <scheme val="minor"/>
    </font>
    <font>
      <sz val="10"/>
      <color rgb="FF000000"/>
      <name val="Calibri"/>
      <scheme val="minor"/>
    </font>
    <font>
      <sz val="10"/>
      <name val="Calibri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F5496"/>
        <bgColor rgb="FF1F38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1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F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Simple_regression_footfall!$A$2:$A$321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Simple_regression_footfall!$B$2:$B$321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7-458F-AD6E-0E334E90CDC0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Simple_regression_footfall!$A$2:$A$321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Simple_regression_footfall!$E$30:$E$349</c:f>
              <c:numCache>
                <c:formatCode>General</c:formatCode>
                <c:ptCount val="320"/>
                <c:pt idx="0">
                  <c:v>742609.59689901455</c:v>
                </c:pt>
                <c:pt idx="1">
                  <c:v>749210.03264745302</c:v>
                </c:pt>
                <c:pt idx="2">
                  <c:v>771544.480098926</c:v>
                </c:pt>
                <c:pt idx="3">
                  <c:v>782890.09398002562</c:v>
                </c:pt>
                <c:pt idx="4">
                  <c:v>786957.38952230662</c:v>
                </c:pt>
                <c:pt idx="5">
                  <c:v>795769.86319724878</c:v>
                </c:pt>
                <c:pt idx="6">
                  <c:v>825168.56080110453</c:v>
                </c:pt>
                <c:pt idx="7">
                  <c:v>752064.27513326425</c:v>
                </c:pt>
                <c:pt idx="8">
                  <c:v>838119.68608047301</c:v>
                </c:pt>
                <c:pt idx="9">
                  <c:v>783889.07885005954</c:v>
                </c:pt>
                <c:pt idx="10">
                  <c:v>773649.48393221176</c:v>
                </c:pt>
                <c:pt idx="11">
                  <c:v>847074.87187970581</c:v>
                </c:pt>
                <c:pt idx="12">
                  <c:v>902197.42988693528</c:v>
                </c:pt>
                <c:pt idx="13">
                  <c:v>805117.50733828056</c:v>
                </c:pt>
                <c:pt idx="14">
                  <c:v>763766.66932509025</c:v>
                </c:pt>
                <c:pt idx="15">
                  <c:v>836728.24286863999</c:v>
                </c:pt>
                <c:pt idx="16">
                  <c:v>698190.44821357715</c:v>
                </c:pt>
                <c:pt idx="17">
                  <c:v>598506.02939661965</c:v>
                </c:pt>
                <c:pt idx="18">
                  <c:v>643995.51901423628</c:v>
                </c:pt>
                <c:pt idx="19">
                  <c:v>619984.20410234923</c:v>
                </c:pt>
                <c:pt idx="20">
                  <c:v>547093.98662094481</c:v>
                </c:pt>
                <c:pt idx="21">
                  <c:v>522083.68683902384</c:v>
                </c:pt>
                <c:pt idx="22">
                  <c:v>566431.47946231591</c:v>
                </c:pt>
                <c:pt idx="23">
                  <c:v>539637.27812676295</c:v>
                </c:pt>
                <c:pt idx="24">
                  <c:v>810968.70443419367</c:v>
                </c:pt>
                <c:pt idx="25">
                  <c:v>764908.36631941481</c:v>
                </c:pt>
                <c:pt idx="26">
                  <c:v>778751.44237559929</c:v>
                </c:pt>
                <c:pt idx="27">
                  <c:v>704113.00137163547</c:v>
                </c:pt>
                <c:pt idx="28">
                  <c:v>588694.57085164357</c:v>
                </c:pt>
                <c:pt idx="29">
                  <c:v>531681.07719756418</c:v>
                </c:pt>
                <c:pt idx="30">
                  <c:v>534570.99771444802</c:v>
                </c:pt>
                <c:pt idx="31">
                  <c:v>481053.9511054873</c:v>
                </c:pt>
                <c:pt idx="32">
                  <c:v>782818.73791788029</c:v>
                </c:pt>
                <c:pt idx="33">
                  <c:v>863665.1563284836</c:v>
                </c:pt>
                <c:pt idx="34">
                  <c:v>783532.29853933305</c:v>
                </c:pt>
                <c:pt idx="35">
                  <c:v>819353.04173626413</c:v>
                </c:pt>
                <c:pt idx="36">
                  <c:v>761733.0215539498</c:v>
                </c:pt>
                <c:pt idx="37">
                  <c:v>737400.6043624091</c:v>
                </c:pt>
                <c:pt idx="38">
                  <c:v>716207.85390526056</c:v>
                </c:pt>
                <c:pt idx="39">
                  <c:v>788848.32516915654</c:v>
                </c:pt>
                <c:pt idx="40">
                  <c:v>576992.17665981757</c:v>
                </c:pt>
                <c:pt idx="41">
                  <c:v>561543.58920536423</c:v>
                </c:pt>
                <c:pt idx="42">
                  <c:v>566288.76733802538</c:v>
                </c:pt>
                <c:pt idx="43">
                  <c:v>576349.97210051003</c:v>
                </c:pt>
                <c:pt idx="44">
                  <c:v>629974.05280268856</c:v>
                </c:pt>
                <c:pt idx="45">
                  <c:v>605534.60151792993</c:v>
                </c:pt>
                <c:pt idx="46">
                  <c:v>582129.81313427771</c:v>
                </c:pt>
                <c:pt idx="47">
                  <c:v>591762.88152389065</c:v>
                </c:pt>
                <c:pt idx="48">
                  <c:v>628511.25352871034</c:v>
                </c:pt>
                <c:pt idx="49">
                  <c:v>644744.75766676175</c:v>
                </c:pt>
                <c:pt idx="50">
                  <c:v>630152.4429580518</c:v>
                </c:pt>
                <c:pt idx="51">
                  <c:v>702899.9483151657</c:v>
                </c:pt>
                <c:pt idx="52">
                  <c:v>563398.84682114155</c:v>
                </c:pt>
                <c:pt idx="53">
                  <c:v>656447.15185858775</c:v>
                </c:pt>
                <c:pt idx="54">
                  <c:v>643210.60233063821</c:v>
                </c:pt>
                <c:pt idx="55">
                  <c:v>548556.78589492303</c:v>
                </c:pt>
                <c:pt idx="56">
                  <c:v>531252.94082469249</c:v>
                </c:pt>
                <c:pt idx="57">
                  <c:v>536140.83108164417</c:v>
                </c:pt>
                <c:pt idx="58">
                  <c:v>589907.62390811334</c:v>
                </c:pt>
                <c:pt idx="59">
                  <c:v>602573.32493890077</c:v>
                </c:pt>
                <c:pt idx="60">
                  <c:v>635718.21580538375</c:v>
                </c:pt>
                <c:pt idx="61">
                  <c:v>586553.8889872852</c:v>
                </c:pt>
                <c:pt idx="62">
                  <c:v>583592.61240825604</c:v>
                </c:pt>
                <c:pt idx="63">
                  <c:v>682599.14863483328</c:v>
                </c:pt>
                <c:pt idx="64">
                  <c:v>773756.51802542969</c:v>
                </c:pt>
                <c:pt idx="65">
                  <c:v>729694.14965071867</c:v>
                </c:pt>
                <c:pt idx="66">
                  <c:v>789918.66610133578</c:v>
                </c:pt>
                <c:pt idx="67">
                  <c:v>742395.5287125787</c:v>
                </c:pt>
                <c:pt idx="68">
                  <c:v>574673.10464009584</c:v>
                </c:pt>
                <c:pt idx="69">
                  <c:v>547522.12299381651</c:v>
                </c:pt>
                <c:pt idx="70">
                  <c:v>560330.53614889446</c:v>
                </c:pt>
                <c:pt idx="71">
                  <c:v>642104.58336738637</c:v>
                </c:pt>
                <c:pt idx="72">
                  <c:v>657553.17082183971</c:v>
                </c:pt>
                <c:pt idx="73">
                  <c:v>689770.43288043397</c:v>
                </c:pt>
                <c:pt idx="74">
                  <c:v>689235.26241434435</c:v>
                </c:pt>
                <c:pt idx="75">
                  <c:v>740825.69534538244</c:v>
                </c:pt>
                <c:pt idx="76">
                  <c:v>684097.62593988422</c:v>
                </c:pt>
                <c:pt idx="77">
                  <c:v>659123.00418903586</c:v>
                </c:pt>
                <c:pt idx="78">
                  <c:v>712925.47504657763</c:v>
                </c:pt>
                <c:pt idx="79">
                  <c:v>659551.14056190755</c:v>
                </c:pt>
                <c:pt idx="80">
                  <c:v>639428.73103693826</c:v>
                </c:pt>
                <c:pt idx="81">
                  <c:v>605213.49923827616</c:v>
                </c:pt>
                <c:pt idx="82">
                  <c:v>612099.35923529579</c:v>
                </c:pt>
                <c:pt idx="83">
                  <c:v>573388.69552148087</c:v>
                </c:pt>
                <c:pt idx="84">
                  <c:v>556691.37697948515</c:v>
                </c:pt>
                <c:pt idx="85">
                  <c:v>589265.41934880579</c:v>
                </c:pt>
                <c:pt idx="86">
                  <c:v>581558.96463711548</c:v>
                </c:pt>
                <c:pt idx="87">
                  <c:v>491364.9020854804</c:v>
                </c:pt>
                <c:pt idx="88">
                  <c:v>697013.07318817999</c:v>
                </c:pt>
                <c:pt idx="89">
                  <c:v>639071.95072621189</c:v>
                </c:pt>
                <c:pt idx="90">
                  <c:v>660050.63299692445</c:v>
                </c:pt>
                <c:pt idx="91">
                  <c:v>578454.97593379579</c:v>
                </c:pt>
                <c:pt idx="92">
                  <c:v>607282.8250404892</c:v>
                </c:pt>
                <c:pt idx="93">
                  <c:v>677497.19019144564</c:v>
                </c:pt>
                <c:pt idx="94">
                  <c:v>730764.49058289791</c:v>
                </c:pt>
                <c:pt idx="95">
                  <c:v>662512.41714093671</c:v>
                </c:pt>
                <c:pt idx="96">
                  <c:v>674535.91361241648</c:v>
                </c:pt>
                <c:pt idx="97">
                  <c:v>630152.4429580518</c:v>
                </c:pt>
                <c:pt idx="98">
                  <c:v>614525.46534823533</c:v>
                </c:pt>
                <c:pt idx="99">
                  <c:v>634826.26502856775</c:v>
                </c:pt>
                <c:pt idx="100">
                  <c:v>576349.97210051003</c:v>
                </c:pt>
                <c:pt idx="101">
                  <c:v>602430.61281461013</c:v>
                </c:pt>
                <c:pt idx="102">
                  <c:v>690162.89122223307</c:v>
                </c:pt>
                <c:pt idx="103">
                  <c:v>532537.34994330746</c:v>
                </c:pt>
                <c:pt idx="104">
                  <c:v>709500.38406360417</c:v>
                </c:pt>
                <c:pt idx="105">
                  <c:v>758200.89647775842</c:v>
                </c:pt>
                <c:pt idx="106">
                  <c:v>695871.37619385554</c:v>
                </c:pt>
                <c:pt idx="107">
                  <c:v>699974.34976720915</c:v>
                </c:pt>
                <c:pt idx="108">
                  <c:v>695264.8496656206</c:v>
                </c:pt>
                <c:pt idx="109">
                  <c:v>642390.00761596742</c:v>
                </c:pt>
                <c:pt idx="110">
                  <c:v>649275.86761298706</c:v>
                </c:pt>
                <c:pt idx="111">
                  <c:v>591370.42318209168</c:v>
                </c:pt>
                <c:pt idx="112">
                  <c:v>766299.80953124771</c:v>
                </c:pt>
                <c:pt idx="113">
                  <c:v>784959.41978223878</c:v>
                </c:pt>
                <c:pt idx="114">
                  <c:v>775540.41957906168</c:v>
                </c:pt>
                <c:pt idx="115">
                  <c:v>776396.69232480507</c:v>
                </c:pt>
                <c:pt idx="116">
                  <c:v>725448.46395307453</c:v>
                </c:pt>
                <c:pt idx="117">
                  <c:v>747319.0970006031</c:v>
                </c:pt>
                <c:pt idx="118">
                  <c:v>750101.98342426901</c:v>
                </c:pt>
                <c:pt idx="119">
                  <c:v>725270.07379771117</c:v>
                </c:pt>
                <c:pt idx="120">
                  <c:v>583878.0366568371</c:v>
                </c:pt>
                <c:pt idx="121">
                  <c:v>578205.22971628723</c:v>
                </c:pt>
                <c:pt idx="122">
                  <c:v>604214.51436824212</c:v>
                </c:pt>
                <c:pt idx="123">
                  <c:v>514412.91015840613</c:v>
                </c:pt>
                <c:pt idx="124">
                  <c:v>817319.39396512369</c:v>
                </c:pt>
                <c:pt idx="125">
                  <c:v>841580.45509451907</c:v>
                </c:pt>
                <c:pt idx="126">
                  <c:v>787992.05242341314</c:v>
                </c:pt>
                <c:pt idx="127">
                  <c:v>739719.67638213071</c:v>
                </c:pt>
                <c:pt idx="128">
                  <c:v>825239.91686324985</c:v>
                </c:pt>
                <c:pt idx="129">
                  <c:v>824455.00017965166</c:v>
                </c:pt>
                <c:pt idx="130">
                  <c:v>789597.56382168201</c:v>
                </c:pt>
                <c:pt idx="131">
                  <c:v>833017.72763708537</c:v>
                </c:pt>
                <c:pt idx="132">
                  <c:v>554978.83148799837</c:v>
                </c:pt>
                <c:pt idx="133">
                  <c:v>511130.53129972325</c:v>
                </c:pt>
                <c:pt idx="134">
                  <c:v>575493.69935476664</c:v>
                </c:pt>
                <c:pt idx="135">
                  <c:v>516446.55792954669</c:v>
                </c:pt>
                <c:pt idx="136">
                  <c:v>727838.89203494135</c:v>
                </c:pt>
                <c:pt idx="137">
                  <c:v>669184.2089515205</c:v>
                </c:pt>
                <c:pt idx="138">
                  <c:v>679887.61827331258</c:v>
                </c:pt>
                <c:pt idx="139">
                  <c:v>641391.0227459335</c:v>
                </c:pt>
                <c:pt idx="140">
                  <c:v>675713.28863781365</c:v>
                </c:pt>
                <c:pt idx="141">
                  <c:v>685596.10324493505</c:v>
                </c:pt>
                <c:pt idx="142">
                  <c:v>647813.06833900884</c:v>
                </c:pt>
                <c:pt idx="143">
                  <c:v>663654.11413526116</c:v>
                </c:pt>
                <c:pt idx="144">
                  <c:v>600254.25291917915</c:v>
                </c:pt>
                <c:pt idx="145">
                  <c:v>558867.73687491613</c:v>
                </c:pt>
                <c:pt idx="146">
                  <c:v>598363.31727232912</c:v>
                </c:pt>
                <c:pt idx="147">
                  <c:v>565931.98702729901</c:v>
                </c:pt>
                <c:pt idx="148">
                  <c:v>636538.81052005442</c:v>
                </c:pt>
                <c:pt idx="149">
                  <c:v>680137.36449082103</c:v>
                </c:pt>
                <c:pt idx="150">
                  <c:v>644423.65538710798</c:v>
                </c:pt>
                <c:pt idx="151">
                  <c:v>657303.42460433114</c:v>
                </c:pt>
                <c:pt idx="152">
                  <c:v>791559.85553067725</c:v>
                </c:pt>
                <c:pt idx="153">
                  <c:v>686880.51236355014</c:v>
                </c:pt>
                <c:pt idx="154">
                  <c:v>722736.93359155371</c:v>
                </c:pt>
                <c:pt idx="155">
                  <c:v>720881.67597577651</c:v>
                </c:pt>
                <c:pt idx="156">
                  <c:v>675606.25454459572</c:v>
                </c:pt>
                <c:pt idx="157">
                  <c:v>639071.95072621189</c:v>
                </c:pt>
                <c:pt idx="158">
                  <c:v>696691.97090852621</c:v>
                </c:pt>
                <c:pt idx="159">
                  <c:v>583663.96847040125</c:v>
                </c:pt>
                <c:pt idx="160">
                  <c:v>712390.30458048801</c:v>
                </c:pt>
                <c:pt idx="161">
                  <c:v>695871.37619385554</c:v>
                </c:pt>
                <c:pt idx="162">
                  <c:v>733190.59669583745</c:v>
                </c:pt>
                <c:pt idx="163">
                  <c:v>662441.06107879139</c:v>
                </c:pt>
                <c:pt idx="164">
                  <c:v>779036.86662418046</c:v>
                </c:pt>
                <c:pt idx="165">
                  <c:v>759984.79803139041</c:v>
                </c:pt>
                <c:pt idx="166">
                  <c:v>693980.44054700551</c:v>
                </c:pt>
                <c:pt idx="167">
                  <c:v>783211.19625967939</c:v>
                </c:pt>
                <c:pt idx="168">
                  <c:v>780856.44620888517</c:v>
                </c:pt>
                <c:pt idx="169">
                  <c:v>716707.34634027747</c:v>
                </c:pt>
                <c:pt idx="170">
                  <c:v>765693.28300301288</c:v>
                </c:pt>
                <c:pt idx="171">
                  <c:v>720096.75929217832</c:v>
                </c:pt>
                <c:pt idx="172">
                  <c:v>758272.25253990362</c:v>
                </c:pt>
                <c:pt idx="173">
                  <c:v>784638.31750258501</c:v>
                </c:pt>
                <c:pt idx="174">
                  <c:v>796982.91625371855</c:v>
                </c:pt>
                <c:pt idx="175">
                  <c:v>817533.46215155954</c:v>
                </c:pt>
                <c:pt idx="176">
                  <c:v>887426.7250228622</c:v>
                </c:pt>
                <c:pt idx="177">
                  <c:v>729158.97918462905</c:v>
                </c:pt>
                <c:pt idx="178">
                  <c:v>762874.71854827437</c:v>
                </c:pt>
                <c:pt idx="179">
                  <c:v>803155.21562928543</c:v>
                </c:pt>
                <c:pt idx="180">
                  <c:v>844363.3415181851</c:v>
                </c:pt>
                <c:pt idx="181">
                  <c:v>777752.45750556537</c:v>
                </c:pt>
                <c:pt idx="182">
                  <c:v>796483.42381870165</c:v>
                </c:pt>
                <c:pt idx="183">
                  <c:v>829628.31468518462</c:v>
                </c:pt>
                <c:pt idx="184">
                  <c:v>663475.72397989803</c:v>
                </c:pt>
                <c:pt idx="185">
                  <c:v>633791.60212746111</c:v>
                </c:pt>
                <c:pt idx="186">
                  <c:v>678888.63340327865</c:v>
                </c:pt>
                <c:pt idx="187">
                  <c:v>729408.7254021375</c:v>
                </c:pt>
                <c:pt idx="188">
                  <c:v>571497.75987463084</c:v>
                </c:pt>
                <c:pt idx="189">
                  <c:v>528898.19077389815</c:v>
                </c:pt>
                <c:pt idx="190">
                  <c:v>491650.32633406157</c:v>
                </c:pt>
                <c:pt idx="191">
                  <c:v>604214.51436824212</c:v>
                </c:pt>
                <c:pt idx="192">
                  <c:v>666793.78086965356</c:v>
                </c:pt>
                <c:pt idx="193">
                  <c:v>630152.4429580518</c:v>
                </c:pt>
                <c:pt idx="194">
                  <c:v>581380.57448175224</c:v>
                </c:pt>
                <c:pt idx="195">
                  <c:v>558261.2103466813</c:v>
                </c:pt>
                <c:pt idx="196">
                  <c:v>623730.39736497658</c:v>
                </c:pt>
                <c:pt idx="197">
                  <c:v>602180.86659710167</c:v>
                </c:pt>
                <c:pt idx="198">
                  <c:v>625228.87467002741</c:v>
                </c:pt>
                <c:pt idx="199">
                  <c:v>645315.60616392398</c:v>
                </c:pt>
                <c:pt idx="200">
                  <c:v>658873.2579715274</c:v>
                </c:pt>
                <c:pt idx="201">
                  <c:v>674357.52345705335</c:v>
                </c:pt>
                <c:pt idx="202">
                  <c:v>692446.28521088208</c:v>
                </c:pt>
                <c:pt idx="203">
                  <c:v>661013.93983588577</c:v>
                </c:pt>
                <c:pt idx="204">
                  <c:v>784495.60537829436</c:v>
                </c:pt>
                <c:pt idx="205">
                  <c:v>727375.07763099705</c:v>
                </c:pt>
                <c:pt idx="206">
                  <c:v>777609.74538127473</c:v>
                </c:pt>
                <c:pt idx="207">
                  <c:v>742645.27493008715</c:v>
                </c:pt>
                <c:pt idx="208">
                  <c:v>807650.64754443802</c:v>
                </c:pt>
                <c:pt idx="209">
                  <c:v>783853.40081898682</c:v>
                </c:pt>
                <c:pt idx="210">
                  <c:v>905586.84283883614</c:v>
                </c:pt>
                <c:pt idx="211">
                  <c:v>794342.74195434316</c:v>
                </c:pt>
                <c:pt idx="212">
                  <c:v>785530.268279401</c:v>
                </c:pt>
                <c:pt idx="213">
                  <c:v>782212.21138964547</c:v>
                </c:pt>
                <c:pt idx="214">
                  <c:v>790489.514598498</c:v>
                </c:pt>
                <c:pt idx="215">
                  <c:v>846860.80369326996</c:v>
                </c:pt>
                <c:pt idx="216">
                  <c:v>638857.88253977604</c:v>
                </c:pt>
                <c:pt idx="217">
                  <c:v>625300.23073217273</c:v>
                </c:pt>
                <c:pt idx="218">
                  <c:v>605784.34773543838</c:v>
                </c:pt>
                <c:pt idx="219">
                  <c:v>613312.41229176545</c:v>
                </c:pt>
                <c:pt idx="220">
                  <c:v>706539.10748457501</c:v>
                </c:pt>
                <c:pt idx="221">
                  <c:v>710570.72499578341</c:v>
                </c:pt>
                <c:pt idx="222">
                  <c:v>727553.4677863603</c:v>
                </c:pt>
                <c:pt idx="223">
                  <c:v>759413.94953422819</c:v>
                </c:pt>
                <c:pt idx="224">
                  <c:v>614561.14337930793</c:v>
                </c:pt>
                <c:pt idx="225">
                  <c:v>547807.54724239768</c:v>
                </c:pt>
                <c:pt idx="226">
                  <c:v>584555.91924721724</c:v>
                </c:pt>
                <c:pt idx="227">
                  <c:v>495467.87565883406</c:v>
                </c:pt>
                <c:pt idx="228">
                  <c:v>658944.61403367261</c:v>
                </c:pt>
                <c:pt idx="229">
                  <c:v>766121.41937588458</c:v>
                </c:pt>
                <c:pt idx="230">
                  <c:v>679923.29630438518</c:v>
                </c:pt>
                <c:pt idx="231">
                  <c:v>641105.59849735245</c:v>
                </c:pt>
                <c:pt idx="232">
                  <c:v>598541.70742769237</c:v>
                </c:pt>
                <c:pt idx="233">
                  <c:v>636253.38627147325</c:v>
                </c:pt>
                <c:pt idx="234">
                  <c:v>641890.51518095052</c:v>
                </c:pt>
                <c:pt idx="235">
                  <c:v>666508.35662107239</c:v>
                </c:pt>
                <c:pt idx="236">
                  <c:v>799908.5148016751</c:v>
                </c:pt>
                <c:pt idx="237">
                  <c:v>803048.18153606751</c:v>
                </c:pt>
                <c:pt idx="238">
                  <c:v>792558.84040071117</c:v>
                </c:pt>
                <c:pt idx="239">
                  <c:v>778715.76434452669</c:v>
                </c:pt>
                <c:pt idx="240">
                  <c:v>733797.12322407239</c:v>
                </c:pt>
                <c:pt idx="241">
                  <c:v>647920.10243222676</c:v>
                </c:pt>
                <c:pt idx="242">
                  <c:v>805902.42402187875</c:v>
                </c:pt>
                <c:pt idx="243">
                  <c:v>731977.54363936768</c:v>
                </c:pt>
                <c:pt idx="244">
                  <c:v>765158.11253692326</c:v>
                </c:pt>
                <c:pt idx="245">
                  <c:v>757986.82829132257</c:v>
                </c:pt>
                <c:pt idx="246">
                  <c:v>709500.38406360417</c:v>
                </c:pt>
                <c:pt idx="247">
                  <c:v>736080.51721272129</c:v>
                </c:pt>
                <c:pt idx="248">
                  <c:v>584662.95334043517</c:v>
                </c:pt>
                <c:pt idx="249">
                  <c:v>652094.43206772569</c:v>
                </c:pt>
                <c:pt idx="250">
                  <c:v>671967.09537518641</c:v>
                </c:pt>
                <c:pt idx="251">
                  <c:v>690448.31547081424</c:v>
                </c:pt>
                <c:pt idx="252">
                  <c:v>688378.98966860096</c:v>
                </c:pt>
                <c:pt idx="253">
                  <c:v>691019.16396797635</c:v>
                </c:pt>
                <c:pt idx="254">
                  <c:v>647670.35621471819</c:v>
                </c:pt>
                <c:pt idx="255">
                  <c:v>652879.34875132376</c:v>
                </c:pt>
                <c:pt idx="256">
                  <c:v>737721.70664206275</c:v>
                </c:pt>
                <c:pt idx="257">
                  <c:v>716635.99027813226</c:v>
                </c:pt>
                <c:pt idx="258">
                  <c:v>754454.70321513107</c:v>
                </c:pt>
                <c:pt idx="259">
                  <c:v>725983.63441916415</c:v>
                </c:pt>
                <c:pt idx="260">
                  <c:v>555121.54361228889</c:v>
                </c:pt>
                <c:pt idx="261">
                  <c:v>617058.60555439279</c:v>
                </c:pt>
                <c:pt idx="262">
                  <c:v>621304.29125203693</c:v>
                </c:pt>
                <c:pt idx="263">
                  <c:v>589907.62390811334</c:v>
                </c:pt>
                <c:pt idx="264">
                  <c:v>707716.48250997218</c:v>
                </c:pt>
                <c:pt idx="265">
                  <c:v>736437.29752344778</c:v>
                </c:pt>
                <c:pt idx="266">
                  <c:v>730728.81255182531</c:v>
                </c:pt>
                <c:pt idx="267">
                  <c:v>704719.52789987042</c:v>
                </c:pt>
                <c:pt idx="268">
                  <c:v>733690.08913085447</c:v>
                </c:pt>
                <c:pt idx="269">
                  <c:v>732477.03607438458</c:v>
                </c:pt>
                <c:pt idx="270">
                  <c:v>810041.07562630507</c:v>
                </c:pt>
                <c:pt idx="271">
                  <c:v>712069.20230083424</c:v>
                </c:pt>
                <c:pt idx="272">
                  <c:v>649382.90170620498</c:v>
                </c:pt>
                <c:pt idx="273">
                  <c:v>565075.71428155561</c:v>
                </c:pt>
                <c:pt idx="274">
                  <c:v>652165.78812987101</c:v>
                </c:pt>
                <c:pt idx="275">
                  <c:v>656661.2200450236</c:v>
                </c:pt>
                <c:pt idx="276">
                  <c:v>751957.24104004633</c:v>
                </c:pt>
                <c:pt idx="277">
                  <c:v>731870.50954614975</c:v>
                </c:pt>
                <c:pt idx="278">
                  <c:v>779072.54465525306</c:v>
                </c:pt>
                <c:pt idx="279">
                  <c:v>771401.76797463535</c:v>
                </c:pt>
                <c:pt idx="280">
                  <c:v>589907.62390811334</c:v>
                </c:pt>
                <c:pt idx="281">
                  <c:v>601788.40825530258</c:v>
                </c:pt>
                <c:pt idx="282">
                  <c:v>651380.87144627282</c:v>
                </c:pt>
                <c:pt idx="283">
                  <c:v>554407.98299083614</c:v>
                </c:pt>
                <c:pt idx="284">
                  <c:v>644851.79175997968</c:v>
                </c:pt>
                <c:pt idx="285">
                  <c:v>606497.90835689125</c:v>
                </c:pt>
                <c:pt idx="286">
                  <c:v>594902.54825828306</c:v>
                </c:pt>
                <c:pt idx="287">
                  <c:v>592476.4421453434</c:v>
                </c:pt>
                <c:pt idx="288">
                  <c:v>749102.99855423509</c:v>
                </c:pt>
                <c:pt idx="289">
                  <c:v>724485.15711411322</c:v>
                </c:pt>
                <c:pt idx="290">
                  <c:v>742538.24083686923</c:v>
                </c:pt>
                <c:pt idx="291">
                  <c:v>699118.07702146587</c:v>
                </c:pt>
                <c:pt idx="292">
                  <c:v>583200.15406645695</c:v>
                </c:pt>
                <c:pt idx="293">
                  <c:v>530539.38020323962</c:v>
                </c:pt>
                <c:pt idx="294">
                  <c:v>490330.23918437387</c:v>
                </c:pt>
                <c:pt idx="295">
                  <c:v>507883.83047211292</c:v>
                </c:pt>
                <c:pt idx="296">
                  <c:v>656768.25413824152</c:v>
                </c:pt>
                <c:pt idx="297">
                  <c:v>657018.00035575009</c:v>
                </c:pt>
                <c:pt idx="298">
                  <c:v>621161.5791277464</c:v>
                </c:pt>
                <c:pt idx="299">
                  <c:v>498571.86436215381</c:v>
                </c:pt>
                <c:pt idx="300">
                  <c:v>740825.69534538244</c:v>
                </c:pt>
                <c:pt idx="301">
                  <c:v>731442.37317327806</c:v>
                </c:pt>
                <c:pt idx="302">
                  <c:v>741396.54384254478</c:v>
                </c:pt>
                <c:pt idx="303">
                  <c:v>738363.9112013703</c:v>
                </c:pt>
                <c:pt idx="304">
                  <c:v>679530.8379625862</c:v>
                </c:pt>
                <c:pt idx="305">
                  <c:v>653485.87527955859</c:v>
                </c:pt>
                <c:pt idx="306">
                  <c:v>671217.85672266094</c:v>
                </c:pt>
                <c:pt idx="307">
                  <c:v>674714.30376777973</c:v>
                </c:pt>
                <c:pt idx="308">
                  <c:v>651880.36388128984</c:v>
                </c:pt>
                <c:pt idx="309">
                  <c:v>634968.97715285828</c:v>
                </c:pt>
                <c:pt idx="310">
                  <c:v>640285.00378268166</c:v>
                </c:pt>
                <c:pt idx="311">
                  <c:v>713246.5773262314</c:v>
                </c:pt>
                <c:pt idx="312">
                  <c:v>666329.96646570927</c:v>
                </c:pt>
                <c:pt idx="313">
                  <c:v>730871.52467611583</c:v>
                </c:pt>
                <c:pt idx="314">
                  <c:v>660478.76936979615</c:v>
                </c:pt>
                <c:pt idx="315">
                  <c:v>802013.51863496087</c:v>
                </c:pt>
                <c:pt idx="316">
                  <c:v>647599.00015257299</c:v>
                </c:pt>
                <c:pt idx="317">
                  <c:v>570070.63863172522</c:v>
                </c:pt>
                <c:pt idx="318">
                  <c:v>723807.27452373295</c:v>
                </c:pt>
                <c:pt idx="319">
                  <c:v>636110.67414718273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B7-458F-AD6E-0E334E90C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34312"/>
        <c:axId val="527037192"/>
      </c:scatterChart>
      <c:valAx>
        <c:axId val="527034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7192"/>
        <c:crosses val="autoZero"/>
        <c:crossBetween val="midCat"/>
      </c:valAx>
      <c:valAx>
        <c:axId val="527037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4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Simple_regression_marketing!$A$2:$A$321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Simple_regression_marketing!$B$2:$B$321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7E-40DB-988C-F49549D252F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Simple_regression_marketing!$A$2:$A$321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Simple_regression_marketing!$E$30:$E$349</c:f>
              <c:numCache>
                <c:formatCode>General</c:formatCode>
                <c:ptCount val="320"/>
                <c:pt idx="0">
                  <c:v>710676.25743644347</c:v>
                </c:pt>
                <c:pt idx="1">
                  <c:v>654112.13865375798</c:v>
                </c:pt>
                <c:pt idx="2">
                  <c:v>688385.22583544278</c:v>
                </c:pt>
                <c:pt idx="3">
                  <c:v>681857.82190734067</c:v>
                </c:pt>
                <c:pt idx="4">
                  <c:v>663875.7091369254</c:v>
                </c:pt>
                <c:pt idx="5">
                  <c:v>698797.69921668014</c:v>
                </c:pt>
                <c:pt idx="6">
                  <c:v>659192.36837224313</c:v>
                </c:pt>
                <c:pt idx="7">
                  <c:v>705904.752253199</c:v>
                </c:pt>
                <c:pt idx="8">
                  <c:v>713763.60926761688</c:v>
                </c:pt>
                <c:pt idx="9">
                  <c:v>705872.63825725892</c:v>
                </c:pt>
                <c:pt idx="10">
                  <c:v>633790.28276667313</c:v>
                </c:pt>
                <c:pt idx="11">
                  <c:v>705545.62066995422</c:v>
                </c:pt>
                <c:pt idx="12">
                  <c:v>713741.03576914431</c:v>
                </c:pt>
                <c:pt idx="13">
                  <c:v>679430.51065320056</c:v>
                </c:pt>
                <c:pt idx="14">
                  <c:v>688359.15983343311</c:v>
                </c:pt>
                <c:pt idx="15">
                  <c:v>721146.52749207162</c:v>
                </c:pt>
                <c:pt idx="16">
                  <c:v>664709.60824370314</c:v>
                </c:pt>
                <c:pt idx="17">
                  <c:v>686673.36670835968</c:v>
                </c:pt>
                <c:pt idx="18">
                  <c:v>728654.1536477101</c:v>
                </c:pt>
                <c:pt idx="19">
                  <c:v>649031.05710514181</c:v>
                </c:pt>
                <c:pt idx="20">
                  <c:v>625423.33037484554</c:v>
                </c:pt>
                <c:pt idx="21">
                  <c:v>632158.32530588121</c:v>
                </c:pt>
                <c:pt idx="22">
                  <c:v>650788.89376354753</c:v>
                </c:pt>
                <c:pt idx="23">
                  <c:v>692939.7059970526</c:v>
                </c:pt>
                <c:pt idx="24">
                  <c:v>683646.79295703582</c:v>
                </c:pt>
                <c:pt idx="25">
                  <c:v>927949.18293500762</c:v>
                </c:pt>
                <c:pt idx="26">
                  <c:v>678480.08118449722</c:v>
                </c:pt>
                <c:pt idx="27">
                  <c:v>673038.12180086761</c:v>
                </c:pt>
                <c:pt idx="28">
                  <c:v>706867.53325880237</c:v>
                </c:pt>
                <c:pt idx="29">
                  <c:v>695316.95093524118</c:v>
                </c:pt>
                <c:pt idx="30">
                  <c:v>656544.51829717786</c:v>
                </c:pt>
                <c:pt idx="31">
                  <c:v>709456.52187181311</c:v>
                </c:pt>
                <c:pt idx="32">
                  <c:v>677047.53715738084</c:v>
                </c:pt>
                <c:pt idx="33">
                  <c:v>717880.18485461432</c:v>
                </c:pt>
                <c:pt idx="34">
                  <c:v>719247.30832766718</c:v>
                </c:pt>
                <c:pt idx="35">
                  <c:v>672545.48714033619</c:v>
                </c:pt>
                <c:pt idx="36">
                  <c:v>721070.20351233077</c:v>
                </c:pt>
                <c:pt idx="37">
                  <c:v>691204.05951356038</c:v>
                </c:pt>
                <c:pt idx="38">
                  <c:v>759639.77280468796</c:v>
                </c:pt>
                <c:pt idx="39">
                  <c:v>699225.70126601914</c:v>
                </c:pt>
                <c:pt idx="40">
                  <c:v>646946.22415518458</c:v>
                </c:pt>
                <c:pt idx="41">
                  <c:v>659001.622310151</c:v>
                </c:pt>
                <c:pt idx="42">
                  <c:v>705753.59499644663</c:v>
                </c:pt>
                <c:pt idx="43">
                  <c:v>698948.74999466608</c:v>
                </c:pt>
                <c:pt idx="44">
                  <c:v>856480.61364533973</c:v>
                </c:pt>
                <c:pt idx="45">
                  <c:v>696282.67075479659</c:v>
                </c:pt>
                <c:pt idx="46">
                  <c:v>667349.06779197778</c:v>
                </c:pt>
                <c:pt idx="47">
                  <c:v>650419.3485569508</c:v>
                </c:pt>
                <c:pt idx="48">
                  <c:v>660066.77200175158</c:v>
                </c:pt>
                <c:pt idx="49">
                  <c:v>666639.15256077237</c:v>
                </c:pt>
                <c:pt idx="50">
                  <c:v>663609.95943179552</c:v>
                </c:pt>
                <c:pt idx="51">
                  <c:v>699865.21273689438</c:v>
                </c:pt>
                <c:pt idx="52">
                  <c:v>673677.76104626246</c:v>
                </c:pt>
                <c:pt idx="53">
                  <c:v>773466.57301289681</c:v>
                </c:pt>
                <c:pt idx="54">
                  <c:v>733689.27896075696</c:v>
                </c:pt>
                <c:pt idx="55">
                  <c:v>619997.85390425147</c:v>
                </c:pt>
                <c:pt idx="56">
                  <c:v>602016.69944273378</c:v>
                </c:pt>
                <c:pt idx="57">
                  <c:v>687286.21589613357</c:v>
                </c:pt>
                <c:pt idx="58">
                  <c:v>814006.16984930076</c:v>
                </c:pt>
                <c:pt idx="59">
                  <c:v>673542.87374501291</c:v>
                </c:pt>
                <c:pt idx="60">
                  <c:v>720299.53149702935</c:v>
                </c:pt>
                <c:pt idx="61">
                  <c:v>640177.83748301235</c:v>
                </c:pt>
                <c:pt idx="62">
                  <c:v>667986.96078560397</c:v>
                </c:pt>
                <c:pt idx="63">
                  <c:v>720398.53545400896</c:v>
                </c:pt>
                <c:pt idx="64">
                  <c:v>709933.46156218019</c:v>
                </c:pt>
                <c:pt idx="65">
                  <c:v>669702.33371197758</c:v>
                </c:pt>
                <c:pt idx="66">
                  <c:v>729750.84234991227</c:v>
                </c:pt>
                <c:pt idx="67">
                  <c:v>650258.69339423743</c:v>
                </c:pt>
                <c:pt idx="68">
                  <c:v>711843.54156075534</c:v>
                </c:pt>
                <c:pt idx="69">
                  <c:v>639174.36029289884</c:v>
                </c:pt>
                <c:pt idx="70">
                  <c:v>689769.5988686491</c:v>
                </c:pt>
                <c:pt idx="71">
                  <c:v>678076.82480046479</c:v>
                </c:pt>
                <c:pt idx="72">
                  <c:v>659166.83476406534</c:v>
                </c:pt>
                <c:pt idx="73">
                  <c:v>675269.53342062281</c:v>
                </c:pt>
                <c:pt idx="74">
                  <c:v>710155.93829665345</c:v>
                </c:pt>
                <c:pt idx="75">
                  <c:v>685889.10800246825</c:v>
                </c:pt>
                <c:pt idx="76">
                  <c:v>682106.02391177125</c:v>
                </c:pt>
                <c:pt idx="77">
                  <c:v>677633.14907671465</c:v>
                </c:pt>
                <c:pt idx="78">
                  <c:v>732341.91794674413</c:v>
                </c:pt>
                <c:pt idx="79">
                  <c:v>726884.00804391084</c:v>
                </c:pt>
                <c:pt idx="80">
                  <c:v>690428.04226418666</c:v>
                </c:pt>
                <c:pt idx="81">
                  <c:v>689890.04764917761</c:v>
                </c:pt>
                <c:pt idx="82">
                  <c:v>715663.78674091864</c:v>
                </c:pt>
                <c:pt idx="83">
                  <c:v>638455.11752175866</c:v>
                </c:pt>
                <c:pt idx="84">
                  <c:v>678730.49794726842</c:v>
                </c:pt>
                <c:pt idx="85">
                  <c:v>749125.01592046651</c:v>
                </c:pt>
                <c:pt idx="86">
                  <c:v>727378.09081566497</c:v>
                </c:pt>
                <c:pt idx="87">
                  <c:v>601231.43983643828</c:v>
                </c:pt>
                <c:pt idx="88">
                  <c:v>668359.10407410027</c:v>
                </c:pt>
                <c:pt idx="89">
                  <c:v>862198.05489334627</c:v>
                </c:pt>
                <c:pt idx="90">
                  <c:v>735649.95766911563</c:v>
                </c:pt>
                <c:pt idx="91">
                  <c:v>627236.08878094982</c:v>
                </c:pt>
                <c:pt idx="92">
                  <c:v>643759.63411374553</c:v>
                </c:pt>
                <c:pt idx="93">
                  <c:v>704394.41483936575</c:v>
                </c:pt>
                <c:pt idx="94">
                  <c:v>744819.24886136584</c:v>
                </c:pt>
                <c:pt idx="95">
                  <c:v>581082.10084664135</c:v>
                </c:pt>
                <c:pt idx="96">
                  <c:v>690962.69344593131</c:v>
                </c:pt>
                <c:pt idx="97">
                  <c:v>728671.76523566921</c:v>
                </c:pt>
                <c:pt idx="98">
                  <c:v>643304.35220446019</c:v>
                </c:pt>
                <c:pt idx="99">
                  <c:v>678119.2885324969</c:v>
                </c:pt>
                <c:pt idx="100">
                  <c:v>673825.3406164645</c:v>
                </c:pt>
                <c:pt idx="101">
                  <c:v>695156.93464512611</c:v>
                </c:pt>
                <c:pt idx="102">
                  <c:v>752618.8610901701</c:v>
                </c:pt>
                <c:pt idx="103">
                  <c:v>629491.58589766012</c:v>
                </c:pt>
                <c:pt idx="104">
                  <c:v>684120.36791838519</c:v>
                </c:pt>
                <c:pt idx="105">
                  <c:v>719812.6466898825</c:v>
                </c:pt>
                <c:pt idx="106">
                  <c:v>697696.75136382284</c:v>
                </c:pt>
                <c:pt idx="107">
                  <c:v>626883.68665574025</c:v>
                </c:pt>
                <c:pt idx="108">
                  <c:v>721059.87507199205</c:v>
                </c:pt>
                <c:pt idx="109">
                  <c:v>708594.78921550396</c:v>
                </c:pt>
                <c:pt idx="110">
                  <c:v>669505.26281116251</c:v>
                </c:pt>
                <c:pt idx="111">
                  <c:v>673129.50187817449</c:v>
                </c:pt>
                <c:pt idx="112">
                  <c:v>691588.72470498295</c:v>
                </c:pt>
                <c:pt idx="113">
                  <c:v>731518.90096989041</c:v>
                </c:pt>
                <c:pt idx="114">
                  <c:v>632342.10765665222</c:v>
                </c:pt>
                <c:pt idx="115">
                  <c:v>616126.15818417352</c:v>
                </c:pt>
                <c:pt idx="116">
                  <c:v>653808.1417757445</c:v>
                </c:pt>
                <c:pt idx="117">
                  <c:v>682929.80753574288</c:v>
                </c:pt>
                <c:pt idx="118">
                  <c:v>651104.2838695636</c:v>
                </c:pt>
                <c:pt idx="119">
                  <c:v>677837.92904021579</c:v>
                </c:pt>
                <c:pt idx="120">
                  <c:v>654257.46087411267</c:v>
                </c:pt>
                <c:pt idx="121">
                  <c:v>737626.1609816124</c:v>
                </c:pt>
                <c:pt idx="122">
                  <c:v>663840.54984826688</c:v>
                </c:pt>
                <c:pt idx="123">
                  <c:v>601374.46211543912</c:v>
                </c:pt>
                <c:pt idx="124">
                  <c:v>691833.9878954615</c:v>
                </c:pt>
                <c:pt idx="125">
                  <c:v>656069.45263309905</c:v>
                </c:pt>
                <c:pt idx="126">
                  <c:v>681136.47085662617</c:v>
                </c:pt>
                <c:pt idx="127">
                  <c:v>641335.98572916887</c:v>
                </c:pt>
                <c:pt idx="128">
                  <c:v>701862.83957718674</c:v>
                </c:pt>
                <c:pt idx="129">
                  <c:v>706463.57411491184</c:v>
                </c:pt>
                <c:pt idx="130">
                  <c:v>668822.69132716337</c:v>
                </c:pt>
                <c:pt idx="131">
                  <c:v>702299.9775046811</c:v>
                </c:pt>
                <c:pt idx="132">
                  <c:v>710435.97745223157</c:v>
                </c:pt>
                <c:pt idx="133">
                  <c:v>607780.56543288182</c:v>
                </c:pt>
                <c:pt idx="134">
                  <c:v>672123.14976136864</c:v>
                </c:pt>
                <c:pt idx="135">
                  <c:v>710628.66142787179</c:v>
                </c:pt>
                <c:pt idx="136">
                  <c:v>712660.06333285978</c:v>
                </c:pt>
                <c:pt idx="137">
                  <c:v>720729.04554485087</c:v>
                </c:pt>
                <c:pt idx="138">
                  <c:v>709376.9822333277</c:v>
                </c:pt>
                <c:pt idx="139">
                  <c:v>654930.02335407212</c:v>
                </c:pt>
                <c:pt idx="140">
                  <c:v>670302.0647157334</c:v>
                </c:pt>
                <c:pt idx="141">
                  <c:v>658112.75886416819</c:v>
                </c:pt>
                <c:pt idx="142">
                  <c:v>654552.3431697241</c:v>
                </c:pt>
                <c:pt idx="143">
                  <c:v>667678.02329283056</c:v>
                </c:pt>
                <c:pt idx="144">
                  <c:v>710887.27705565433</c:v>
                </c:pt>
                <c:pt idx="145">
                  <c:v>669192.47078704601</c:v>
                </c:pt>
                <c:pt idx="146">
                  <c:v>674393.80945441127</c:v>
                </c:pt>
                <c:pt idx="147">
                  <c:v>689238.44019044167</c:v>
                </c:pt>
                <c:pt idx="148">
                  <c:v>670611.64108110522</c:v>
                </c:pt>
                <c:pt idx="149">
                  <c:v>653030.42086610873</c:v>
                </c:pt>
                <c:pt idx="150">
                  <c:v>661066.60761805496</c:v>
                </c:pt>
                <c:pt idx="151">
                  <c:v>713798.17227518361</c:v>
                </c:pt>
                <c:pt idx="152">
                  <c:v>721869.56090729497</c:v>
                </c:pt>
                <c:pt idx="153">
                  <c:v>697868.22476920031</c:v>
                </c:pt>
                <c:pt idx="154">
                  <c:v>691605.33539253811</c:v>
                </c:pt>
                <c:pt idx="155">
                  <c:v>651706.25092741335</c:v>
                </c:pt>
                <c:pt idx="156">
                  <c:v>745801.89880477567</c:v>
                </c:pt>
                <c:pt idx="157">
                  <c:v>649927.92775435618</c:v>
                </c:pt>
                <c:pt idx="158">
                  <c:v>681988.85467724735</c:v>
                </c:pt>
                <c:pt idx="159">
                  <c:v>610299.70397514757</c:v>
                </c:pt>
                <c:pt idx="160">
                  <c:v>649034.20887662657</c:v>
                </c:pt>
                <c:pt idx="161">
                  <c:v>663931.52530626161</c:v>
                </c:pt>
                <c:pt idx="162">
                  <c:v>682468.30726650089</c:v>
                </c:pt>
                <c:pt idx="163">
                  <c:v>703183.36794207199</c:v>
                </c:pt>
                <c:pt idx="164">
                  <c:v>714427.33400996681</c:v>
                </c:pt>
                <c:pt idx="165">
                  <c:v>635958.38211193902</c:v>
                </c:pt>
                <c:pt idx="166">
                  <c:v>625307.43888551812</c:v>
                </c:pt>
                <c:pt idx="167">
                  <c:v>727804.49568350834</c:v>
                </c:pt>
                <c:pt idx="168">
                  <c:v>692937.04402789311</c:v>
                </c:pt>
                <c:pt idx="169">
                  <c:v>630700.84395167872</c:v>
                </c:pt>
                <c:pt idx="170">
                  <c:v>669013.18184021628</c:v>
                </c:pt>
                <c:pt idx="171">
                  <c:v>638733.66597460734</c:v>
                </c:pt>
                <c:pt idx="172">
                  <c:v>699706.13345992344</c:v>
                </c:pt>
                <c:pt idx="173">
                  <c:v>653724.74760591611</c:v>
                </c:pt>
                <c:pt idx="174">
                  <c:v>705673.9701749481</c:v>
                </c:pt>
                <c:pt idx="175">
                  <c:v>695034.16462749057</c:v>
                </c:pt>
                <c:pt idx="176">
                  <c:v>704511.09427156439</c:v>
                </c:pt>
                <c:pt idx="177">
                  <c:v>623364.11621607933</c:v>
                </c:pt>
                <c:pt idx="178">
                  <c:v>647099.87301507022</c:v>
                </c:pt>
                <c:pt idx="179">
                  <c:v>720243.26811687439</c:v>
                </c:pt>
                <c:pt idx="180">
                  <c:v>706634.32346467802</c:v>
                </c:pt>
                <c:pt idx="181">
                  <c:v>657053.84882827743</c:v>
                </c:pt>
                <c:pt idx="182">
                  <c:v>694962.37664319749</c:v>
                </c:pt>
                <c:pt idx="183">
                  <c:v>684183.85055890062</c:v>
                </c:pt>
                <c:pt idx="184">
                  <c:v>713982.44442828</c:v>
                </c:pt>
                <c:pt idx="185">
                  <c:v>682478.06072150124</c:v>
                </c:pt>
                <c:pt idx="186">
                  <c:v>663064.55389464647</c:v>
                </c:pt>
                <c:pt idx="187">
                  <c:v>715778.05975299713</c:v>
                </c:pt>
                <c:pt idx="188">
                  <c:v>713344.16811109474</c:v>
                </c:pt>
                <c:pt idx="189">
                  <c:v>679583.39286596817</c:v>
                </c:pt>
                <c:pt idx="190">
                  <c:v>641074.85720249976</c:v>
                </c:pt>
                <c:pt idx="191">
                  <c:v>677831.9662292985</c:v>
                </c:pt>
                <c:pt idx="192">
                  <c:v>734969.66483071703</c:v>
                </c:pt>
                <c:pt idx="193">
                  <c:v>669669.83639247855</c:v>
                </c:pt>
                <c:pt idx="194">
                  <c:v>646429.24844865885</c:v>
                </c:pt>
                <c:pt idx="195">
                  <c:v>649490.42779905617</c:v>
                </c:pt>
                <c:pt idx="196">
                  <c:v>713790.42062099115</c:v>
                </c:pt>
                <c:pt idx="197">
                  <c:v>675780.43983746483</c:v>
                </c:pt>
                <c:pt idx="198">
                  <c:v>676795.18248106143</c:v>
                </c:pt>
                <c:pt idx="199">
                  <c:v>691515.80804576632</c:v>
                </c:pt>
                <c:pt idx="200">
                  <c:v>608294.41066367598</c:v>
                </c:pt>
                <c:pt idx="201">
                  <c:v>727122.6695508738</c:v>
                </c:pt>
                <c:pt idx="202">
                  <c:v>635745.27550890716</c:v>
                </c:pt>
                <c:pt idx="203">
                  <c:v>697292.23853034712</c:v>
                </c:pt>
                <c:pt idx="204">
                  <c:v>756890.23550773016</c:v>
                </c:pt>
                <c:pt idx="205">
                  <c:v>676415.13846809976</c:v>
                </c:pt>
                <c:pt idx="206">
                  <c:v>641665.75046864618</c:v>
                </c:pt>
                <c:pt idx="207">
                  <c:v>680914.84595228394</c:v>
                </c:pt>
                <c:pt idx="208">
                  <c:v>695914.21163161704</c:v>
                </c:pt>
                <c:pt idx="209">
                  <c:v>694833.47344861843</c:v>
                </c:pt>
                <c:pt idx="210">
                  <c:v>790707.99818862299</c:v>
                </c:pt>
                <c:pt idx="211">
                  <c:v>665990.6116905082</c:v>
                </c:pt>
                <c:pt idx="212">
                  <c:v>669146.02474915131</c:v>
                </c:pt>
                <c:pt idx="213">
                  <c:v>649835.01438281348</c:v>
                </c:pt>
                <c:pt idx="214">
                  <c:v>635943.98618272447</c:v>
                </c:pt>
                <c:pt idx="215">
                  <c:v>661700.24146102602</c:v>
                </c:pt>
                <c:pt idx="216">
                  <c:v>708102.51658277819</c:v>
                </c:pt>
                <c:pt idx="217">
                  <c:v>633155.92486809066</c:v>
                </c:pt>
                <c:pt idx="218">
                  <c:v>685965.13384166313</c:v>
                </c:pt>
                <c:pt idx="219">
                  <c:v>595812.79930264573</c:v>
                </c:pt>
                <c:pt idx="220">
                  <c:v>674427.94654691254</c:v>
                </c:pt>
                <c:pt idx="221">
                  <c:v>618690.37983612448</c:v>
                </c:pt>
                <c:pt idx="222">
                  <c:v>703379.54442124953</c:v>
                </c:pt>
                <c:pt idx="223">
                  <c:v>717388.42331996735</c:v>
                </c:pt>
                <c:pt idx="224">
                  <c:v>706040.55527183937</c:v>
                </c:pt>
                <c:pt idx="225">
                  <c:v>682644.38055458595</c:v>
                </c:pt>
                <c:pt idx="226">
                  <c:v>652204.31600503006</c:v>
                </c:pt>
                <c:pt idx="227">
                  <c:v>644557.92672104586</c:v>
                </c:pt>
                <c:pt idx="228">
                  <c:v>640262.10477872519</c:v>
                </c:pt>
                <c:pt idx="229">
                  <c:v>802986.72490819369</c:v>
                </c:pt>
                <c:pt idx="230">
                  <c:v>631423.77088813565</c:v>
                </c:pt>
                <c:pt idx="231">
                  <c:v>615758.89162317745</c:v>
                </c:pt>
                <c:pt idx="232">
                  <c:v>661382.57270940952</c:v>
                </c:pt>
                <c:pt idx="233">
                  <c:v>692067.34675985877</c:v>
                </c:pt>
                <c:pt idx="234">
                  <c:v>694051.9405991463</c:v>
                </c:pt>
                <c:pt idx="235">
                  <c:v>662878.00309594965</c:v>
                </c:pt>
                <c:pt idx="236">
                  <c:v>659792.80213585717</c:v>
                </c:pt>
                <c:pt idx="237">
                  <c:v>716155.31402227969</c:v>
                </c:pt>
                <c:pt idx="238">
                  <c:v>686550.17077565868</c:v>
                </c:pt>
                <c:pt idx="239">
                  <c:v>616674.65160554764</c:v>
                </c:pt>
                <c:pt idx="240">
                  <c:v>709634.91639700532</c:v>
                </c:pt>
                <c:pt idx="241">
                  <c:v>671050.16323256248</c:v>
                </c:pt>
                <c:pt idx="242">
                  <c:v>711550.511995679</c:v>
                </c:pt>
                <c:pt idx="243">
                  <c:v>674808.30999617337</c:v>
                </c:pt>
                <c:pt idx="244">
                  <c:v>724631.55621991912</c:v>
                </c:pt>
                <c:pt idx="245">
                  <c:v>663126.39676215965</c:v>
                </c:pt>
                <c:pt idx="246">
                  <c:v>682993.75868283038</c:v>
                </c:pt>
                <c:pt idx="247">
                  <c:v>606640.26302797056</c:v>
                </c:pt>
                <c:pt idx="248">
                  <c:v>647927.38339586509</c:v>
                </c:pt>
                <c:pt idx="249">
                  <c:v>716092.7045076486</c:v>
                </c:pt>
                <c:pt idx="250">
                  <c:v>642471.96509616508</c:v>
                </c:pt>
                <c:pt idx="251">
                  <c:v>768370.35018370138</c:v>
                </c:pt>
                <c:pt idx="252">
                  <c:v>734980.44048187463</c:v>
                </c:pt>
                <c:pt idx="253">
                  <c:v>696180.23818153958</c:v>
                </c:pt>
                <c:pt idx="254">
                  <c:v>721374.4559393836</c:v>
                </c:pt>
                <c:pt idx="255">
                  <c:v>638059.8044536981</c:v>
                </c:pt>
                <c:pt idx="256">
                  <c:v>699780.22138557024</c:v>
                </c:pt>
                <c:pt idx="257">
                  <c:v>621833.18580882833</c:v>
                </c:pt>
                <c:pt idx="258">
                  <c:v>654881.87365591538</c:v>
                </c:pt>
                <c:pt idx="259">
                  <c:v>642548.39555467223</c:v>
                </c:pt>
                <c:pt idx="260">
                  <c:v>591697.43757358496</c:v>
                </c:pt>
                <c:pt idx="261">
                  <c:v>652962.82814521098</c:v>
                </c:pt>
                <c:pt idx="262">
                  <c:v>670345.16732036392</c:v>
                </c:pt>
                <c:pt idx="263">
                  <c:v>685758.41596461402</c:v>
                </c:pt>
                <c:pt idx="264">
                  <c:v>686383.76575956075</c:v>
                </c:pt>
                <c:pt idx="265">
                  <c:v>717204.32153289719</c:v>
                </c:pt>
                <c:pt idx="266">
                  <c:v>681316.3986760542</c:v>
                </c:pt>
                <c:pt idx="267">
                  <c:v>704997.06336132041</c:v>
                </c:pt>
                <c:pt idx="268">
                  <c:v>664600.3610293977</c:v>
                </c:pt>
                <c:pt idx="269">
                  <c:v>611706.07552148798</c:v>
                </c:pt>
                <c:pt idx="270">
                  <c:v>692801.00675596669</c:v>
                </c:pt>
                <c:pt idx="271">
                  <c:v>623269.58436728758</c:v>
                </c:pt>
                <c:pt idx="272">
                  <c:v>668389.40793101187</c:v>
                </c:pt>
                <c:pt idx="273">
                  <c:v>598178.16121050634</c:v>
                </c:pt>
                <c:pt idx="274">
                  <c:v>662248.86265691975</c:v>
                </c:pt>
                <c:pt idx="275">
                  <c:v>642334.92692383472</c:v>
                </c:pt>
                <c:pt idx="276">
                  <c:v>692351.26174253295</c:v>
                </c:pt>
                <c:pt idx="277">
                  <c:v>639214.56667508371</c:v>
                </c:pt>
                <c:pt idx="278">
                  <c:v>664294.74567413528</c:v>
                </c:pt>
                <c:pt idx="279">
                  <c:v>710452.54554828024</c:v>
                </c:pt>
                <c:pt idx="280">
                  <c:v>658610.86653329153</c:v>
                </c:pt>
                <c:pt idx="281">
                  <c:v>634825.36285464815</c:v>
                </c:pt>
                <c:pt idx="282">
                  <c:v>701551.19752374734</c:v>
                </c:pt>
                <c:pt idx="283">
                  <c:v>600385.76417809899</c:v>
                </c:pt>
                <c:pt idx="284">
                  <c:v>688941.70516429527</c:v>
                </c:pt>
                <c:pt idx="285">
                  <c:v>719514.05893320113</c:v>
                </c:pt>
                <c:pt idx="286">
                  <c:v>678696.12660148111</c:v>
                </c:pt>
                <c:pt idx="287">
                  <c:v>647938.07386400958</c:v>
                </c:pt>
                <c:pt idx="288">
                  <c:v>709874.04641054035</c:v>
                </c:pt>
                <c:pt idx="289">
                  <c:v>707524.80538790964</c:v>
                </c:pt>
                <c:pt idx="290">
                  <c:v>681603.69968349941</c:v>
                </c:pt>
                <c:pt idx="291">
                  <c:v>675946.71707904304</c:v>
                </c:pt>
                <c:pt idx="292">
                  <c:v>671507.42564690253</c:v>
                </c:pt>
                <c:pt idx="293">
                  <c:v>646179.44926273264</c:v>
                </c:pt>
                <c:pt idx="294">
                  <c:v>688180.27550591552</c:v>
                </c:pt>
                <c:pt idx="295">
                  <c:v>619124.04655583482</c:v>
                </c:pt>
                <c:pt idx="296">
                  <c:v>679180.79665028735</c:v>
                </c:pt>
                <c:pt idx="297">
                  <c:v>678921.09493908775</c:v>
                </c:pt>
                <c:pt idx="298">
                  <c:v>659109.84732829907</c:v>
                </c:pt>
                <c:pt idx="299">
                  <c:v>612660.14656400145</c:v>
                </c:pt>
                <c:pt idx="300">
                  <c:v>647339.62060545024</c:v>
                </c:pt>
                <c:pt idx="301">
                  <c:v>697042.4393444208</c:v>
                </c:pt>
                <c:pt idx="302">
                  <c:v>673312.09166676202</c:v>
                </c:pt>
                <c:pt idx="303">
                  <c:v>628917.89960016066</c:v>
                </c:pt>
                <c:pt idx="304">
                  <c:v>677793.29314134945</c:v>
                </c:pt>
                <c:pt idx="305">
                  <c:v>659049.23961447587</c:v>
                </c:pt>
                <c:pt idx="306">
                  <c:v>608452.7019977757</c:v>
                </c:pt>
                <c:pt idx="307">
                  <c:v>690008.60110766452</c:v>
                </c:pt>
                <c:pt idx="308">
                  <c:v>663988.49144627457</c:v>
                </c:pt>
                <c:pt idx="309">
                  <c:v>611253.34910259559</c:v>
                </c:pt>
                <c:pt idx="310">
                  <c:v>676462.13819557964</c:v>
                </c:pt>
                <c:pt idx="311">
                  <c:v>743977.42773436964</c:v>
                </c:pt>
                <c:pt idx="312">
                  <c:v>728944.62772239337</c:v>
                </c:pt>
                <c:pt idx="313">
                  <c:v>660373.30307440483</c:v>
                </c:pt>
                <c:pt idx="314">
                  <c:v>693891.05118314689</c:v>
                </c:pt>
                <c:pt idx="315">
                  <c:v>702300.99970083835</c:v>
                </c:pt>
                <c:pt idx="316">
                  <c:v>723933.31106150895</c:v>
                </c:pt>
                <c:pt idx="317">
                  <c:v>612074.68371494045</c:v>
                </c:pt>
                <c:pt idx="318">
                  <c:v>735195.05908338912</c:v>
                </c:pt>
                <c:pt idx="319">
                  <c:v>647138.24796247343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7E-40DB-988C-F49549D25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26392"/>
        <c:axId val="527033232"/>
      </c:scatterChart>
      <c:valAx>
        <c:axId val="52702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3232"/>
        <c:crosses val="autoZero"/>
        <c:crossBetween val="midCat"/>
      </c:valAx>
      <c:valAx>
        <c:axId val="527033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26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avg_discount_pct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Simple_regression_avg_discount!$B$2:$B$321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Simple_regression_avg_discount!$A$2:$A$321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2-484A-86D4-F1C02D0CF478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Simple_regression_avg_discount!$B$2:$B$321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Simple_regression_avg_discount!$E$31:$E$350</c:f>
              <c:numCache>
                <c:formatCode>General</c:formatCode>
                <c:ptCount val="320"/>
                <c:pt idx="0">
                  <c:v>692008.9504884528</c:v>
                </c:pt>
                <c:pt idx="1">
                  <c:v>674528.91319418873</c:v>
                </c:pt>
                <c:pt idx="2">
                  <c:v>679384.47910926212</c:v>
                </c:pt>
                <c:pt idx="3">
                  <c:v>678135.90501681471</c:v>
                </c:pt>
                <c:pt idx="4">
                  <c:v>665788.89454705676</c:v>
                </c:pt>
                <c:pt idx="5">
                  <c:v>682297.81865830615</c:v>
                </c:pt>
                <c:pt idx="6">
                  <c:v>680910.51411114226</c:v>
                </c:pt>
                <c:pt idx="7">
                  <c:v>680216.86183756043</c:v>
                </c:pt>
                <c:pt idx="8">
                  <c:v>668008.58182251884</c:v>
                </c:pt>
                <c:pt idx="9">
                  <c:v>667314.92954893701</c:v>
                </c:pt>
                <c:pt idx="10">
                  <c:v>668286.04273195169</c:v>
                </c:pt>
                <c:pt idx="11">
                  <c:v>697558.16867710801</c:v>
                </c:pt>
                <c:pt idx="12">
                  <c:v>681742.89683944057</c:v>
                </c:pt>
                <c:pt idx="13">
                  <c:v>677580.98319794913</c:v>
                </c:pt>
                <c:pt idx="14">
                  <c:v>666205.08591120597</c:v>
                </c:pt>
                <c:pt idx="15">
                  <c:v>697003.24685824243</c:v>
                </c:pt>
                <c:pt idx="16">
                  <c:v>697141.9773129588</c:v>
                </c:pt>
                <c:pt idx="17">
                  <c:v>681326.70547529147</c:v>
                </c:pt>
                <c:pt idx="18">
                  <c:v>697835.62958654074</c:v>
                </c:pt>
                <c:pt idx="19">
                  <c:v>675916.21774135262</c:v>
                </c:pt>
                <c:pt idx="20">
                  <c:v>665788.89454705676</c:v>
                </c:pt>
                <c:pt idx="21">
                  <c:v>673419.06955645769</c:v>
                </c:pt>
                <c:pt idx="22">
                  <c:v>675638.75683191977</c:v>
                </c:pt>
                <c:pt idx="23">
                  <c:v>667869.85136780248</c:v>
                </c:pt>
                <c:pt idx="24">
                  <c:v>681049.24456585874</c:v>
                </c:pt>
                <c:pt idx="25">
                  <c:v>678413.36592624744</c:v>
                </c:pt>
                <c:pt idx="26">
                  <c:v>674390.18273947237</c:v>
                </c:pt>
                <c:pt idx="27">
                  <c:v>680910.51411114226</c:v>
                </c:pt>
                <c:pt idx="28">
                  <c:v>680633.05320170952</c:v>
                </c:pt>
                <c:pt idx="29">
                  <c:v>667869.85136780248</c:v>
                </c:pt>
                <c:pt idx="30">
                  <c:v>678968.28774511302</c:v>
                </c:pt>
                <c:pt idx="31">
                  <c:v>674528.91319418873</c:v>
                </c:pt>
                <c:pt idx="32">
                  <c:v>671754.30409986118</c:v>
                </c:pt>
                <c:pt idx="33">
                  <c:v>688124.49775639409</c:v>
                </c:pt>
                <c:pt idx="34">
                  <c:v>692425.1418526019</c:v>
                </c:pt>
                <c:pt idx="35">
                  <c:v>663569.20727159467</c:v>
                </c:pt>
                <c:pt idx="36">
                  <c:v>685072.4277526337</c:v>
                </c:pt>
                <c:pt idx="37">
                  <c:v>676193.67865078535</c:v>
                </c:pt>
                <c:pt idx="38">
                  <c:v>670366.99955269741</c:v>
                </c:pt>
                <c:pt idx="39">
                  <c:v>686043.54093564837</c:v>
                </c:pt>
                <c:pt idx="40">
                  <c:v>667592.39045836974</c:v>
                </c:pt>
                <c:pt idx="41">
                  <c:v>677997.17456209834</c:v>
                </c:pt>
                <c:pt idx="42">
                  <c:v>680078.13138284406</c:v>
                </c:pt>
                <c:pt idx="43">
                  <c:v>695199.75094692956</c:v>
                </c:pt>
                <c:pt idx="44">
                  <c:v>689511.80230355787</c:v>
                </c:pt>
                <c:pt idx="45">
                  <c:v>665233.97272819129</c:v>
                </c:pt>
                <c:pt idx="46">
                  <c:v>682159.08820358966</c:v>
                </c:pt>
                <c:pt idx="47">
                  <c:v>676332.40910550172</c:v>
                </c:pt>
                <c:pt idx="48">
                  <c:v>682714.01002245524</c:v>
                </c:pt>
                <c:pt idx="49">
                  <c:v>667592.39045836974</c:v>
                </c:pt>
                <c:pt idx="50">
                  <c:v>696725.7859488097</c:v>
                </c:pt>
                <c:pt idx="51">
                  <c:v>690899.10685072176</c:v>
                </c:pt>
                <c:pt idx="52">
                  <c:v>685766.08002621564</c:v>
                </c:pt>
                <c:pt idx="53">
                  <c:v>661488.25045084895</c:v>
                </c:pt>
                <c:pt idx="54">
                  <c:v>683130.20138660434</c:v>
                </c:pt>
                <c:pt idx="55">
                  <c:v>686737.19320923032</c:v>
                </c:pt>
                <c:pt idx="56">
                  <c:v>697835.62958654074</c:v>
                </c:pt>
                <c:pt idx="57">
                  <c:v>692425.1418526019</c:v>
                </c:pt>
                <c:pt idx="58">
                  <c:v>678829.55729039654</c:v>
                </c:pt>
                <c:pt idx="59">
                  <c:v>685072.4277526337</c:v>
                </c:pt>
                <c:pt idx="60">
                  <c:v>689234.34139412513</c:v>
                </c:pt>
                <c:pt idx="61">
                  <c:v>687569.57593752863</c:v>
                </c:pt>
                <c:pt idx="62">
                  <c:v>682159.08820358966</c:v>
                </c:pt>
                <c:pt idx="63">
                  <c:v>690344.18503185618</c:v>
                </c:pt>
                <c:pt idx="64">
                  <c:v>682991.47093188798</c:v>
                </c:pt>
                <c:pt idx="65">
                  <c:v>676193.67865078535</c:v>
                </c:pt>
                <c:pt idx="66">
                  <c:v>683685.12320546992</c:v>
                </c:pt>
                <c:pt idx="67">
                  <c:v>681881.62729415693</c:v>
                </c:pt>
                <c:pt idx="68">
                  <c:v>678274.63547153107</c:v>
                </c:pt>
                <c:pt idx="69">
                  <c:v>671338.11273571197</c:v>
                </c:pt>
                <c:pt idx="70">
                  <c:v>670505.73000741377</c:v>
                </c:pt>
                <c:pt idx="71">
                  <c:v>692841.33321675099</c:v>
                </c:pt>
                <c:pt idx="72">
                  <c:v>659407.29363010323</c:v>
                </c:pt>
                <c:pt idx="73">
                  <c:v>688679.41957525967</c:v>
                </c:pt>
                <c:pt idx="74">
                  <c:v>673141.60864702496</c:v>
                </c:pt>
                <c:pt idx="75">
                  <c:v>669673.34727911546</c:v>
                </c:pt>
                <c:pt idx="76">
                  <c:v>683962.58411490265</c:v>
                </c:pt>
                <c:pt idx="77">
                  <c:v>688956.8804846924</c:v>
                </c:pt>
                <c:pt idx="78">
                  <c:v>673973.99137532327</c:v>
                </c:pt>
                <c:pt idx="79">
                  <c:v>662875.55499801284</c:v>
                </c:pt>
                <c:pt idx="80">
                  <c:v>673002.87819230859</c:v>
                </c:pt>
                <c:pt idx="81">
                  <c:v>684656.2363884846</c:v>
                </c:pt>
                <c:pt idx="82">
                  <c:v>686182.27139036474</c:v>
                </c:pt>
                <c:pt idx="83">
                  <c:v>693673.71594504931</c:v>
                </c:pt>
                <c:pt idx="84">
                  <c:v>682852.74047717161</c:v>
                </c:pt>
                <c:pt idx="85">
                  <c:v>669257.15591496637</c:v>
                </c:pt>
                <c:pt idx="86">
                  <c:v>689650.53275827423</c:v>
                </c:pt>
                <c:pt idx="87">
                  <c:v>677719.71365266549</c:v>
                </c:pt>
                <c:pt idx="88">
                  <c:v>693812.44639976567</c:v>
                </c:pt>
                <c:pt idx="89">
                  <c:v>696032.13367522776</c:v>
                </c:pt>
                <c:pt idx="90">
                  <c:v>692286.41139788553</c:v>
                </c:pt>
                <c:pt idx="91">
                  <c:v>691870.22003373632</c:v>
                </c:pt>
                <c:pt idx="92">
                  <c:v>670921.92137156287</c:v>
                </c:pt>
                <c:pt idx="93">
                  <c:v>697835.62958654074</c:v>
                </c:pt>
                <c:pt idx="94">
                  <c:v>687708.30639224499</c:v>
                </c:pt>
                <c:pt idx="95">
                  <c:v>687569.57593752863</c:v>
                </c:pt>
                <c:pt idx="96">
                  <c:v>675222.56546777068</c:v>
                </c:pt>
                <c:pt idx="97">
                  <c:v>674112.72183003963</c:v>
                </c:pt>
                <c:pt idx="98">
                  <c:v>687430.84548281215</c:v>
                </c:pt>
                <c:pt idx="99">
                  <c:v>671615.57364514482</c:v>
                </c:pt>
                <c:pt idx="100">
                  <c:v>677026.06137908367</c:v>
                </c:pt>
                <c:pt idx="101">
                  <c:v>673835.2609206069</c:v>
                </c:pt>
                <c:pt idx="102">
                  <c:v>672170.49546401028</c:v>
                </c:pt>
                <c:pt idx="103">
                  <c:v>686737.19320923032</c:v>
                </c:pt>
                <c:pt idx="104">
                  <c:v>683546.39275075356</c:v>
                </c:pt>
                <c:pt idx="105">
                  <c:v>690066.72412242345</c:v>
                </c:pt>
                <c:pt idx="106">
                  <c:v>679384.47910926212</c:v>
                </c:pt>
                <c:pt idx="107">
                  <c:v>690760.37639600527</c:v>
                </c:pt>
                <c:pt idx="108">
                  <c:v>676054.94819606899</c:v>
                </c:pt>
                <c:pt idx="109">
                  <c:v>657326.33680935763</c:v>
                </c:pt>
                <c:pt idx="110">
                  <c:v>685488.61911678291</c:v>
                </c:pt>
                <c:pt idx="111">
                  <c:v>689927.99366770708</c:v>
                </c:pt>
                <c:pt idx="112">
                  <c:v>673835.2609206069</c:v>
                </c:pt>
                <c:pt idx="113">
                  <c:v>678135.90501681471</c:v>
                </c:pt>
                <c:pt idx="114">
                  <c:v>675777.48728663626</c:v>
                </c:pt>
                <c:pt idx="115">
                  <c:v>678552.09638096381</c:v>
                </c:pt>
                <c:pt idx="116">
                  <c:v>671476.84319042845</c:v>
                </c:pt>
                <c:pt idx="117">
                  <c:v>676887.3309243673</c:v>
                </c:pt>
                <c:pt idx="118">
                  <c:v>679384.47910926212</c:v>
                </c:pt>
                <c:pt idx="119">
                  <c:v>665650.16409234039</c:v>
                </c:pt>
                <c:pt idx="120">
                  <c:v>685627.34957149928</c:v>
                </c:pt>
                <c:pt idx="121">
                  <c:v>697835.62958654074</c:v>
                </c:pt>
                <c:pt idx="122">
                  <c:v>688263.22821111046</c:v>
                </c:pt>
                <c:pt idx="123">
                  <c:v>667869.85136780248</c:v>
                </c:pt>
                <c:pt idx="124">
                  <c:v>680771.78365642589</c:v>
                </c:pt>
                <c:pt idx="125">
                  <c:v>673419.06955645769</c:v>
                </c:pt>
                <c:pt idx="126">
                  <c:v>669534.6168243991</c:v>
                </c:pt>
                <c:pt idx="127">
                  <c:v>684517.50593376823</c:v>
                </c:pt>
                <c:pt idx="128">
                  <c:v>678135.90501681471</c:v>
                </c:pt>
                <c:pt idx="129">
                  <c:v>669118.42546024988</c:v>
                </c:pt>
                <c:pt idx="130">
                  <c:v>677858.44410738198</c:v>
                </c:pt>
                <c:pt idx="131">
                  <c:v>685488.61911678291</c:v>
                </c:pt>
                <c:pt idx="132">
                  <c:v>686875.92366394668</c:v>
                </c:pt>
                <c:pt idx="133">
                  <c:v>670644.46046213014</c:v>
                </c:pt>
                <c:pt idx="134">
                  <c:v>685904.81048093201</c:v>
                </c:pt>
                <c:pt idx="135">
                  <c:v>672586.68682815949</c:v>
                </c:pt>
                <c:pt idx="136">
                  <c:v>691176.56776015449</c:v>
                </c:pt>
                <c:pt idx="137">
                  <c:v>686875.92366394668</c:v>
                </c:pt>
                <c:pt idx="138">
                  <c:v>676748.60046965093</c:v>
                </c:pt>
                <c:pt idx="139">
                  <c:v>671893.03455457755</c:v>
                </c:pt>
                <c:pt idx="140">
                  <c:v>665372.70318290766</c:v>
                </c:pt>
                <c:pt idx="141">
                  <c:v>692563.87230731826</c:v>
                </c:pt>
                <c:pt idx="142">
                  <c:v>688263.22821111046</c:v>
                </c:pt>
                <c:pt idx="143">
                  <c:v>672586.68682815949</c:v>
                </c:pt>
                <c:pt idx="144">
                  <c:v>674390.18273947237</c:v>
                </c:pt>
                <c:pt idx="145">
                  <c:v>689511.80230355787</c:v>
                </c:pt>
                <c:pt idx="146">
                  <c:v>676193.67865078535</c:v>
                </c:pt>
                <c:pt idx="147">
                  <c:v>682852.74047717161</c:v>
                </c:pt>
                <c:pt idx="148">
                  <c:v>691315.29821487085</c:v>
                </c:pt>
                <c:pt idx="149">
                  <c:v>691731.48957901995</c:v>
                </c:pt>
                <c:pt idx="150">
                  <c:v>683962.58411490265</c:v>
                </c:pt>
                <c:pt idx="151">
                  <c:v>670505.73000741377</c:v>
                </c:pt>
                <c:pt idx="152">
                  <c:v>665372.70318290766</c:v>
                </c:pt>
                <c:pt idx="153">
                  <c:v>674390.18273947237</c:v>
                </c:pt>
                <c:pt idx="154">
                  <c:v>672864.14773759223</c:v>
                </c:pt>
                <c:pt idx="155">
                  <c:v>671893.03455457755</c:v>
                </c:pt>
                <c:pt idx="156">
                  <c:v>689927.99366770708</c:v>
                </c:pt>
                <c:pt idx="157">
                  <c:v>682020.3577488733</c:v>
                </c:pt>
                <c:pt idx="158">
                  <c:v>675916.21774135262</c:v>
                </c:pt>
                <c:pt idx="159">
                  <c:v>675777.48728663626</c:v>
                </c:pt>
                <c:pt idx="160">
                  <c:v>673557.80001117417</c:v>
                </c:pt>
                <c:pt idx="161">
                  <c:v>693118.79412618384</c:v>
                </c:pt>
                <c:pt idx="162">
                  <c:v>671060.65182627924</c:v>
                </c:pt>
                <c:pt idx="163">
                  <c:v>687430.84548281215</c:v>
                </c:pt>
                <c:pt idx="164">
                  <c:v>676054.94819606899</c:v>
                </c:pt>
                <c:pt idx="165">
                  <c:v>680771.78365642589</c:v>
                </c:pt>
                <c:pt idx="166">
                  <c:v>685349.88866206643</c:v>
                </c:pt>
                <c:pt idx="167">
                  <c:v>680355.59229227679</c:v>
                </c:pt>
                <c:pt idx="168">
                  <c:v>678968.28774511302</c:v>
                </c:pt>
                <c:pt idx="169">
                  <c:v>684101.31456961902</c:v>
                </c:pt>
                <c:pt idx="170">
                  <c:v>676054.94819606899</c:v>
                </c:pt>
                <c:pt idx="171">
                  <c:v>681465.43593000784</c:v>
                </c:pt>
                <c:pt idx="172">
                  <c:v>676054.94819606899</c:v>
                </c:pt>
                <c:pt idx="173">
                  <c:v>682714.01002245524</c:v>
                </c:pt>
                <c:pt idx="174">
                  <c:v>680494.32274699316</c:v>
                </c:pt>
                <c:pt idx="175">
                  <c:v>675777.48728663626</c:v>
                </c:pt>
                <c:pt idx="176">
                  <c:v>691454.02866958722</c:v>
                </c:pt>
                <c:pt idx="177">
                  <c:v>673280.33910174132</c:v>
                </c:pt>
                <c:pt idx="178">
                  <c:v>692147.68094316917</c:v>
                </c:pt>
                <c:pt idx="179">
                  <c:v>696032.13367522776</c:v>
                </c:pt>
                <c:pt idx="180">
                  <c:v>697696.89913182438</c:v>
                </c:pt>
                <c:pt idx="181">
                  <c:v>678274.63547153107</c:v>
                </c:pt>
                <c:pt idx="182">
                  <c:v>682159.08820358966</c:v>
                </c:pt>
                <c:pt idx="183">
                  <c:v>688124.49775639409</c:v>
                </c:pt>
                <c:pt idx="184">
                  <c:v>687847.03684696136</c:v>
                </c:pt>
                <c:pt idx="185">
                  <c:v>675500.02637720341</c:v>
                </c:pt>
                <c:pt idx="186">
                  <c:v>688540.68912054319</c:v>
                </c:pt>
                <c:pt idx="187">
                  <c:v>684794.96684320096</c:v>
                </c:pt>
                <c:pt idx="188">
                  <c:v>697835.62958654074</c:v>
                </c:pt>
                <c:pt idx="189">
                  <c:v>689789.26321299071</c:v>
                </c:pt>
                <c:pt idx="190">
                  <c:v>661904.44181499816</c:v>
                </c:pt>
                <c:pt idx="191">
                  <c:v>672031.76500929391</c:v>
                </c:pt>
                <c:pt idx="192">
                  <c:v>675083.83501305431</c:v>
                </c:pt>
                <c:pt idx="193">
                  <c:v>677026.06137908367</c:v>
                </c:pt>
                <c:pt idx="194">
                  <c:v>685488.61911678291</c:v>
                </c:pt>
                <c:pt idx="195">
                  <c:v>666066.3554564896</c:v>
                </c:pt>
                <c:pt idx="196">
                  <c:v>684240.04502433538</c:v>
                </c:pt>
                <c:pt idx="197">
                  <c:v>694089.90730919852</c:v>
                </c:pt>
                <c:pt idx="198">
                  <c:v>658436.18044708867</c:v>
                </c:pt>
                <c:pt idx="199">
                  <c:v>671615.57364514482</c:v>
                </c:pt>
                <c:pt idx="200">
                  <c:v>680771.78365642589</c:v>
                </c:pt>
                <c:pt idx="201">
                  <c:v>677026.06137908367</c:v>
                </c:pt>
                <c:pt idx="202">
                  <c:v>693396.25503561657</c:v>
                </c:pt>
                <c:pt idx="203">
                  <c:v>680216.86183756043</c:v>
                </c:pt>
                <c:pt idx="204">
                  <c:v>688124.49775639409</c:v>
                </c:pt>
                <c:pt idx="205">
                  <c:v>682991.47093188798</c:v>
                </c:pt>
                <c:pt idx="206">
                  <c:v>677164.79183380003</c:v>
                </c:pt>
                <c:pt idx="207">
                  <c:v>681742.89683944057</c:v>
                </c:pt>
                <c:pt idx="208">
                  <c:v>684378.77547905187</c:v>
                </c:pt>
                <c:pt idx="209">
                  <c:v>674112.72183003963</c:v>
                </c:pt>
                <c:pt idx="210">
                  <c:v>693812.44639976567</c:v>
                </c:pt>
                <c:pt idx="211">
                  <c:v>684933.69729791733</c:v>
                </c:pt>
                <c:pt idx="212">
                  <c:v>685211.15820735006</c:v>
                </c:pt>
                <c:pt idx="213">
                  <c:v>677026.06137908367</c:v>
                </c:pt>
                <c:pt idx="214">
                  <c:v>697835.62958654074</c:v>
                </c:pt>
                <c:pt idx="215">
                  <c:v>677442.25274323276</c:v>
                </c:pt>
                <c:pt idx="216">
                  <c:v>680355.59229227679</c:v>
                </c:pt>
                <c:pt idx="217">
                  <c:v>663707.93772631104</c:v>
                </c:pt>
                <c:pt idx="218">
                  <c:v>666066.3554564896</c:v>
                </c:pt>
                <c:pt idx="219">
                  <c:v>679384.47910926212</c:v>
                </c:pt>
                <c:pt idx="220">
                  <c:v>677580.98319794913</c:v>
                </c:pt>
                <c:pt idx="221">
                  <c:v>685627.34957149928</c:v>
                </c:pt>
                <c:pt idx="222">
                  <c:v>681742.89683944057</c:v>
                </c:pt>
                <c:pt idx="223">
                  <c:v>692980.06367146748</c:v>
                </c:pt>
                <c:pt idx="224">
                  <c:v>670366.99955269741</c:v>
                </c:pt>
                <c:pt idx="225">
                  <c:v>682297.81865830615</c:v>
                </c:pt>
                <c:pt idx="226">
                  <c:v>674112.72183003963</c:v>
                </c:pt>
                <c:pt idx="227">
                  <c:v>684933.69729791733</c:v>
                </c:pt>
                <c:pt idx="228">
                  <c:v>687985.76730167773</c:v>
                </c:pt>
                <c:pt idx="229">
                  <c:v>669812.07773383183</c:v>
                </c:pt>
                <c:pt idx="230">
                  <c:v>674390.18273947237</c:v>
                </c:pt>
                <c:pt idx="231">
                  <c:v>697835.62958654074</c:v>
                </c:pt>
                <c:pt idx="232">
                  <c:v>688263.22821111046</c:v>
                </c:pt>
                <c:pt idx="233">
                  <c:v>680355.59229227679</c:v>
                </c:pt>
                <c:pt idx="234">
                  <c:v>691176.56776015449</c:v>
                </c:pt>
                <c:pt idx="235">
                  <c:v>681326.70547529147</c:v>
                </c:pt>
                <c:pt idx="236">
                  <c:v>681049.24456585874</c:v>
                </c:pt>
                <c:pt idx="237">
                  <c:v>683130.20138660434</c:v>
                </c:pt>
                <c:pt idx="238">
                  <c:v>669950.8081885482</c:v>
                </c:pt>
                <c:pt idx="239">
                  <c:v>672031.76500929391</c:v>
                </c:pt>
                <c:pt idx="240">
                  <c:v>658852.37181123777</c:v>
                </c:pt>
                <c:pt idx="241">
                  <c:v>689650.53275827423</c:v>
                </c:pt>
                <c:pt idx="242">
                  <c:v>676748.60046965093</c:v>
                </c:pt>
                <c:pt idx="243">
                  <c:v>697835.62958654074</c:v>
                </c:pt>
                <c:pt idx="244">
                  <c:v>686182.27139036474</c:v>
                </c:pt>
                <c:pt idx="245">
                  <c:v>697835.62958654074</c:v>
                </c:pt>
                <c:pt idx="246">
                  <c:v>668702.23409610079</c:v>
                </c:pt>
                <c:pt idx="247">
                  <c:v>666343.81636592234</c:v>
                </c:pt>
                <c:pt idx="248">
                  <c:v>677026.06137908367</c:v>
                </c:pt>
                <c:pt idx="249">
                  <c:v>694228.63776391488</c:v>
                </c:pt>
                <c:pt idx="250">
                  <c:v>659962.21544896881</c:v>
                </c:pt>
                <c:pt idx="251">
                  <c:v>685766.08002621564</c:v>
                </c:pt>
                <c:pt idx="252">
                  <c:v>690899.10685072176</c:v>
                </c:pt>
                <c:pt idx="253">
                  <c:v>687569.57593752863</c:v>
                </c:pt>
                <c:pt idx="254">
                  <c:v>689650.53275827423</c:v>
                </c:pt>
                <c:pt idx="255">
                  <c:v>697835.62958654074</c:v>
                </c:pt>
                <c:pt idx="256">
                  <c:v>690760.37639600527</c:v>
                </c:pt>
                <c:pt idx="257">
                  <c:v>682020.3577488733</c:v>
                </c:pt>
                <c:pt idx="258">
                  <c:v>677997.17456209834</c:v>
                </c:pt>
                <c:pt idx="259">
                  <c:v>696864.51640352607</c:v>
                </c:pt>
                <c:pt idx="260">
                  <c:v>679107.01819982938</c:v>
                </c:pt>
                <c:pt idx="261">
                  <c:v>674390.18273947237</c:v>
                </c:pt>
                <c:pt idx="262">
                  <c:v>685904.81048093201</c:v>
                </c:pt>
                <c:pt idx="263">
                  <c:v>667731.12091308611</c:v>
                </c:pt>
                <c:pt idx="264">
                  <c:v>684794.96684320096</c:v>
                </c:pt>
                <c:pt idx="265">
                  <c:v>668563.50364138442</c:v>
                </c:pt>
                <c:pt idx="266">
                  <c:v>674251.452284756</c:v>
                </c:pt>
                <c:pt idx="267">
                  <c:v>694228.63776391488</c:v>
                </c:pt>
                <c:pt idx="268">
                  <c:v>683130.20138660434</c:v>
                </c:pt>
                <c:pt idx="269">
                  <c:v>678552.09638096381</c:v>
                </c:pt>
                <c:pt idx="270">
                  <c:v>670366.99955269741</c:v>
                </c:pt>
                <c:pt idx="271">
                  <c:v>682436.54911302251</c:v>
                </c:pt>
                <c:pt idx="272">
                  <c:v>690621.64594128891</c:v>
                </c:pt>
                <c:pt idx="273">
                  <c:v>676609.87001493445</c:v>
                </c:pt>
                <c:pt idx="274">
                  <c:v>678274.63547153107</c:v>
                </c:pt>
                <c:pt idx="275">
                  <c:v>663569.20727159467</c:v>
                </c:pt>
                <c:pt idx="276">
                  <c:v>679800.67047341121</c:v>
                </c:pt>
                <c:pt idx="277">
                  <c:v>697835.62958654074</c:v>
                </c:pt>
                <c:pt idx="278">
                  <c:v>668286.04273195169</c:v>
                </c:pt>
                <c:pt idx="279">
                  <c:v>697280.70776767517</c:v>
                </c:pt>
                <c:pt idx="280">
                  <c:v>688263.22821111046</c:v>
                </c:pt>
                <c:pt idx="281">
                  <c:v>690760.37639600527</c:v>
                </c:pt>
                <c:pt idx="282">
                  <c:v>688124.49775639409</c:v>
                </c:pt>
                <c:pt idx="283">
                  <c:v>680910.51411114226</c:v>
                </c:pt>
                <c:pt idx="284">
                  <c:v>696587.05549409334</c:v>
                </c:pt>
                <c:pt idx="285">
                  <c:v>678413.36592624744</c:v>
                </c:pt>
                <c:pt idx="286">
                  <c:v>672447.95637344313</c:v>
                </c:pt>
                <c:pt idx="287">
                  <c:v>673696.53046589054</c:v>
                </c:pt>
                <c:pt idx="288">
                  <c:v>659962.21544896881</c:v>
                </c:pt>
                <c:pt idx="289">
                  <c:v>658436.18044708867</c:v>
                </c:pt>
                <c:pt idx="290">
                  <c:v>693396.25503561657</c:v>
                </c:pt>
                <c:pt idx="291">
                  <c:v>697835.62958654074</c:v>
                </c:pt>
                <c:pt idx="292">
                  <c:v>684517.50593376823</c:v>
                </c:pt>
                <c:pt idx="293">
                  <c:v>681326.70547529147</c:v>
                </c:pt>
                <c:pt idx="294">
                  <c:v>668147.31227723532</c:v>
                </c:pt>
                <c:pt idx="295">
                  <c:v>674112.72183003963</c:v>
                </c:pt>
                <c:pt idx="296">
                  <c:v>692841.33321675099</c:v>
                </c:pt>
                <c:pt idx="297">
                  <c:v>683685.12320546992</c:v>
                </c:pt>
                <c:pt idx="298">
                  <c:v>682020.3577488733</c:v>
                </c:pt>
                <c:pt idx="299">
                  <c:v>681604.1663847242</c:v>
                </c:pt>
                <c:pt idx="300">
                  <c:v>678274.63547153107</c:v>
                </c:pt>
                <c:pt idx="301">
                  <c:v>687569.57593752863</c:v>
                </c:pt>
                <c:pt idx="302">
                  <c:v>678690.82683568017</c:v>
                </c:pt>
                <c:pt idx="303">
                  <c:v>670366.99955269741</c:v>
                </c:pt>
                <c:pt idx="304">
                  <c:v>672447.95637344313</c:v>
                </c:pt>
                <c:pt idx="305">
                  <c:v>691315.29821487085</c:v>
                </c:pt>
                <c:pt idx="306">
                  <c:v>677580.98319794913</c:v>
                </c:pt>
                <c:pt idx="307">
                  <c:v>687430.84548281215</c:v>
                </c:pt>
                <c:pt idx="308">
                  <c:v>676471.13956021809</c:v>
                </c:pt>
                <c:pt idx="309">
                  <c:v>674667.64364890521</c:v>
                </c:pt>
                <c:pt idx="310">
                  <c:v>670089.53864326456</c:v>
                </c:pt>
                <c:pt idx="311">
                  <c:v>678135.90501681471</c:v>
                </c:pt>
                <c:pt idx="312">
                  <c:v>694922.29003749671</c:v>
                </c:pt>
                <c:pt idx="313">
                  <c:v>672447.95637344313</c:v>
                </c:pt>
                <c:pt idx="314">
                  <c:v>685211.15820735006</c:v>
                </c:pt>
                <c:pt idx="315">
                  <c:v>682852.74047717161</c:v>
                </c:pt>
                <c:pt idx="316">
                  <c:v>673696.53046589054</c:v>
                </c:pt>
                <c:pt idx="317">
                  <c:v>697835.62958654074</c:v>
                </c:pt>
                <c:pt idx="318">
                  <c:v>668008.58182251884</c:v>
                </c:pt>
                <c:pt idx="319">
                  <c:v>674945.10455833795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E2-484A-86D4-F1C02D0C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95200"/>
        <c:axId val="512095448"/>
      </c:scatterChart>
      <c:valAx>
        <c:axId val="51469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2095448"/>
        <c:crosses val="autoZero"/>
        <c:crossBetween val="midCat"/>
      </c:valAx>
      <c:valAx>
        <c:axId val="512095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95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Multiple_regression!$B$2:$B$321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D1-4EBC-9C10-79723E0913B0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Multiple_regression!$B$2:$B$321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D1-4EBC-9C10-79723E091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159344"/>
        <c:axId val="625160064"/>
      </c:scatterChart>
      <c:valAx>
        <c:axId val="625159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5160064"/>
        <c:crosses val="autoZero"/>
        <c:crossBetween val="midCat"/>
      </c:valAx>
      <c:valAx>
        <c:axId val="62516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515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Multiple_regression!$C$2:$C$321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D-4BFA-8B86-C69C1C50EBDF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Multiple_regression!$C$2:$C$321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AD-4BFA-8B86-C69C1C50E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20824"/>
        <c:axId val="551217224"/>
      </c:scatterChart>
      <c:valAx>
        <c:axId val="551220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17224"/>
        <c:crosses val="autoZero"/>
        <c:crossBetween val="midCat"/>
      </c:valAx>
      <c:valAx>
        <c:axId val="551217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20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avg_discount_pct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Multiple_regression!$D$2:$D$321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22-4910-9A00-56F5796EF647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Multiple_regression!$D$2:$D$321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22-4910-9A00-56F5796E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19024"/>
        <c:axId val="551221904"/>
      </c:scatterChart>
      <c:valAx>
        <c:axId val="55121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21904"/>
        <c:crosses val="autoZero"/>
        <c:crossBetween val="midCat"/>
      </c:valAx>
      <c:valAx>
        <c:axId val="55122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19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inventory_availability_pct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Multiple_regression!$E$2:$E$321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A9-4B7A-8628-8167C9D0A1FA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Multiple_regression!$E$2:$E$321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A9-4B7A-8628-8167C9D0A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50488"/>
        <c:axId val="514654088"/>
      </c:scatterChart>
      <c:valAx>
        <c:axId val="51465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inventory_availability_pct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4088"/>
        <c:crosses val="autoZero"/>
        <c:crossBetween val="midCat"/>
      </c:valAx>
      <c:valAx>
        <c:axId val="514654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0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clean_customer_rating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Multiple_regression!$F$2:$F$321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>
                  <c:v>3.9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>
                  <c:v>3.9</c:v>
                </c:pt>
                <c:pt idx="134">
                  <c:v>4.4000000000000004</c:v>
                </c:pt>
                <c:pt idx="135">
                  <c:v>4.5999999999999996</c:v>
                </c:pt>
                <c:pt idx="136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>
                  <c:v>3.9</c:v>
                </c:pt>
                <c:pt idx="312">
                  <c:v>3.4</c:v>
                </c:pt>
                <c:pt idx="313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3B-44B1-A8CC-97438CDD3ABB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Multiple_regression!$F$2:$F$321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>
                  <c:v>3.9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>
                  <c:v>3.9</c:v>
                </c:pt>
                <c:pt idx="134">
                  <c:v>4.4000000000000004</c:v>
                </c:pt>
                <c:pt idx="135">
                  <c:v>4.5999999999999996</c:v>
                </c:pt>
                <c:pt idx="136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>
                  <c:v>3.9</c:v>
                </c:pt>
                <c:pt idx="312">
                  <c:v>3.4</c:v>
                </c:pt>
                <c:pt idx="313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3B-44B1-A8CC-97438CDD3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53368"/>
        <c:axId val="514655528"/>
      </c:scatterChart>
      <c:valAx>
        <c:axId val="514653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clean_customer_rating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5528"/>
        <c:crosses val="autoZero"/>
        <c:crossBetween val="midCat"/>
      </c:valAx>
      <c:valAx>
        <c:axId val="514655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3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staff_count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Multiple_regression!$G$2:$G$321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1-43FE-A016-01E29089D25F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Multiple_regression!$G$2:$G$321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71-43FE-A016-01E29089D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989752"/>
        <c:axId val="399991552"/>
      </c:scatterChart>
      <c:valAx>
        <c:axId val="399989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staff_count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991552"/>
        <c:crosses val="autoZero"/>
        <c:crossBetween val="midCat"/>
      </c:valAx>
      <c:valAx>
        <c:axId val="399991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989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holiday_flag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Multiple_regression!$H$2:$H$321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06-4443-A4D3-56EB5AE116DE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Multiple_regression!$H$2:$H$321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06-4443-A4D3-56EB5AE11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096888"/>
        <c:axId val="399992272"/>
      </c:scatterChart>
      <c:valAx>
        <c:axId val="51209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holiday_flag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992272"/>
        <c:crosses val="autoZero"/>
        <c:crossBetween val="midCat"/>
      </c:valAx>
      <c:valAx>
        <c:axId val="39999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2096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store_type_high_street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Multiple_regression!$I$2:$I$321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0-471C-94CC-0FD6EFDF013A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Multiple_regression!$I$2:$I$321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00-471C-94CC-0FD6EFDF0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26160"/>
        <c:axId val="110027240"/>
      </c:scatterChart>
      <c:valAx>
        <c:axId val="11002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store_type_high_street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7240"/>
        <c:crosses val="autoZero"/>
        <c:crossBetween val="midCat"/>
      </c:valAx>
      <c:valAx>
        <c:axId val="110027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6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store_type_mall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Multiple_regression!$J$2:$J$321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48-41B4-A8FE-1A525C945BF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Multiple_regression!$J$2:$J$321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48-41B4-A8FE-1A525C945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60592"/>
        <c:axId val="555960232"/>
      </c:scatterChart>
      <c:valAx>
        <c:axId val="55596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store_type_mall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5960232"/>
        <c:crosses val="autoZero"/>
        <c:crossBetween val="midCat"/>
      </c:valAx>
      <c:valAx>
        <c:axId val="555960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59605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store_type_residential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Multiple_regression!$K$2:$K$321</c:f>
              <c:numCache>
                <c:formatCode>General</c:formatCode>
                <c:ptCount val="3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7-45B9-B1B2-3FE5C0443FDB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Multiple_regression!$K$2:$K$321</c:f>
              <c:numCache>
                <c:formatCode>General</c:formatCode>
                <c:ptCount val="3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57-45B9-B1B2-3FE5C044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27600"/>
        <c:axId val="110026160"/>
      </c:scatterChart>
      <c:valAx>
        <c:axId val="11002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store_type_residential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6160"/>
        <c:crosses val="autoZero"/>
        <c:crossBetween val="midCat"/>
      </c:valAx>
      <c:valAx>
        <c:axId val="110026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7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5</xdr:row>
      <xdr:rowOff>167640</xdr:rowOff>
    </xdr:from>
    <xdr:to>
      <xdr:col>18</xdr:col>
      <xdr:colOff>274321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4A087-3EDF-234A-F275-810945BB1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5</xdr:row>
      <xdr:rowOff>167640</xdr:rowOff>
    </xdr:from>
    <xdr:to>
      <xdr:col>18</xdr:col>
      <xdr:colOff>274319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073C3-180D-5AE4-D614-5096D4C7B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6</xdr:row>
      <xdr:rowOff>167640</xdr:rowOff>
    </xdr:from>
    <xdr:to>
      <xdr:col>18</xdr:col>
      <xdr:colOff>274321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679C7-ACF2-FA91-F47C-48CC33223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662939</xdr:colOff>
      <xdr:row>11</xdr:row>
      <xdr:rowOff>7620</xdr:rowOff>
    </xdr:from>
    <xdr:to>
      <xdr:col>27</xdr:col>
      <xdr:colOff>662940</xdr:colOff>
      <xdr:row>21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F929DF4-D23C-6FCF-27A5-75277037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342900</xdr:colOff>
      <xdr:row>33</xdr:row>
      <xdr:rowOff>7620</xdr:rowOff>
    </xdr:from>
    <xdr:to>
      <xdr:col>20</xdr:col>
      <xdr:colOff>137161</xdr:colOff>
      <xdr:row>43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270F971-D8C4-FADF-A5D7-B07DCC7BF38B}"/>
            </a:ext>
            <a:ext uri="{147F2762-F138-4A5C-976F-8EAC2B608ADB}">
              <a16:predDERef xmlns:a16="http://schemas.microsoft.com/office/drawing/2014/main" pred="{0F929DF4-D23C-6FCF-27A5-75277037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15241</xdr:colOff>
      <xdr:row>33</xdr:row>
      <xdr:rowOff>0</xdr:rowOff>
    </xdr:from>
    <xdr:to>
      <xdr:col>28</xdr:col>
      <xdr:colOff>15242</xdr:colOff>
      <xdr:row>43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C31C91-D0CA-830D-DEE3-3DD311F2BAC5}"/>
            </a:ext>
            <a:ext uri="{147F2762-F138-4A5C-976F-8EAC2B608ADB}">
              <a16:predDERef xmlns:a16="http://schemas.microsoft.com/office/drawing/2014/main" pred="{B270F971-D8C4-FADF-A5D7-B07DCC7BF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21</xdr:row>
      <xdr:rowOff>160020</xdr:rowOff>
    </xdr:from>
    <xdr:to>
      <xdr:col>27</xdr:col>
      <xdr:colOff>670559</xdr:colOff>
      <xdr:row>32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B1E7DCE-43DF-5C0B-1747-625B6E24B0BA}"/>
            </a:ext>
            <a:ext uri="{147F2762-F138-4A5C-976F-8EAC2B608ADB}">
              <a16:predDERef xmlns:a16="http://schemas.microsoft.com/office/drawing/2014/main" pred="{CEC31C91-D0CA-830D-DEE3-3DD311F2B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350520</xdr:colOff>
      <xdr:row>44</xdr:row>
      <xdr:rowOff>7620</xdr:rowOff>
    </xdr:from>
    <xdr:to>
      <xdr:col>20</xdr:col>
      <xdr:colOff>144779</xdr:colOff>
      <xdr:row>54</xdr:row>
      <xdr:rowOff>30480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9A0AB29-97B1-A58C-2240-9C0BE07E5090}"/>
            </a:ext>
            <a:ext uri="{147F2762-F138-4A5C-976F-8EAC2B608ADB}">
              <a16:predDERef xmlns:a16="http://schemas.microsoft.com/office/drawing/2014/main" pred="{DB1E7DCE-43DF-5C0B-1747-625B6E24B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7619</xdr:colOff>
      <xdr:row>44</xdr:row>
      <xdr:rowOff>7620</xdr:rowOff>
    </xdr:from>
    <xdr:to>
      <xdr:col>28</xdr:col>
      <xdr:colOff>7620</xdr:colOff>
      <xdr:row>54</xdr:row>
      <xdr:rowOff>22860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88DA38B-AACD-4CD3-675A-C72D6C0BD9E0}"/>
            </a:ext>
            <a:ext uri="{147F2762-F138-4A5C-976F-8EAC2B608ADB}">
              <a16:predDERef xmlns:a16="http://schemas.microsoft.com/office/drawing/2014/main" pred="{39A0AB29-97B1-A58C-2240-9C0BE07E5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335280</xdr:colOff>
      <xdr:row>55</xdr:row>
      <xdr:rowOff>45720</xdr:rowOff>
    </xdr:from>
    <xdr:to>
      <xdr:col>20</xdr:col>
      <xdr:colOff>129541</xdr:colOff>
      <xdr:row>65</xdr:row>
      <xdr:rowOff>60960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D420012-59D7-6A10-ABA0-C8AB916B8A06}"/>
            </a:ext>
            <a:ext uri="{147F2762-F138-4A5C-976F-8EAC2B608ADB}">
              <a16:predDERef xmlns:a16="http://schemas.microsoft.com/office/drawing/2014/main" pred="{688DA38B-AACD-4CD3-675A-C72D6C0BD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7621</xdr:colOff>
      <xdr:row>55</xdr:row>
      <xdr:rowOff>7620</xdr:rowOff>
    </xdr:from>
    <xdr:to>
      <xdr:col>28</xdr:col>
      <xdr:colOff>7622</xdr:colOff>
      <xdr:row>65</xdr:row>
      <xdr:rowOff>15240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9EFF806-CB22-F0FC-AC5B-FA46F468637E}"/>
            </a:ext>
            <a:ext uri="{147F2762-F138-4A5C-976F-8EAC2B608ADB}">
              <a16:predDERef xmlns:a16="http://schemas.microsoft.com/office/drawing/2014/main" pred="{2D420012-59D7-6A10-ABA0-C8AB916B8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297181</xdr:colOff>
      <xdr:row>66</xdr:row>
      <xdr:rowOff>15240</xdr:rowOff>
    </xdr:from>
    <xdr:to>
      <xdr:col>20</xdr:col>
      <xdr:colOff>91439</xdr:colOff>
      <xdr:row>76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1A6B69F-E527-DCF9-EEF7-A1F6FD810020}"/>
            </a:ext>
            <a:ext uri="{147F2762-F138-4A5C-976F-8EAC2B608ADB}">
              <a16:predDERef xmlns:a16="http://schemas.microsoft.com/office/drawing/2014/main" pred="{D9EFF806-CB22-F0FC-AC5B-FA46F4686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662939</xdr:colOff>
      <xdr:row>66</xdr:row>
      <xdr:rowOff>15240</xdr:rowOff>
    </xdr:from>
    <xdr:to>
      <xdr:col>27</xdr:col>
      <xdr:colOff>662940</xdr:colOff>
      <xdr:row>76</xdr:row>
      <xdr:rowOff>22860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0FFDCFC-B754-27FF-DCE8-3160193CEBD0}"/>
            </a:ext>
            <a:ext uri="{147F2762-F138-4A5C-976F-8EAC2B608ADB}">
              <a16:predDERef xmlns:a16="http://schemas.microsoft.com/office/drawing/2014/main" pred="{41A6B69F-E527-DCF9-EEF7-A1F6FD810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41A6-EDCF-470C-9564-299E17FDD9C9}">
  <dimension ref="A1:L5"/>
  <sheetViews>
    <sheetView workbookViewId="0">
      <selection activeCell="C10" sqref="C10"/>
    </sheetView>
  </sheetViews>
  <sheetFormatPr defaultRowHeight="14.25"/>
  <cols>
    <col min="1" max="1" width="19.75" customWidth="1"/>
    <col min="2" max="2" width="16.75" customWidth="1"/>
    <col min="3" max="3" width="37.5" customWidth="1"/>
    <col min="4" max="4" width="11.5" customWidth="1"/>
    <col min="5" max="5" width="14.375" customWidth="1"/>
    <col min="6" max="6" width="10.375" customWidth="1"/>
    <col min="7" max="8" width="14.375" customWidth="1"/>
    <col min="9" max="9" width="36.75" customWidth="1"/>
    <col min="10" max="10" width="26.875" customWidth="1"/>
    <col min="11" max="11" width="30.75" customWidth="1"/>
    <col min="12" max="12" width="15.25" customWidth="1"/>
  </cols>
  <sheetData>
    <row r="1" spans="1:1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</row>
    <row r="2" spans="1:12" ht="40.5">
      <c r="A2" s="14" t="s">
        <v>12</v>
      </c>
      <c r="B2" s="15" t="s">
        <v>13</v>
      </c>
      <c r="C2" s="15" t="s">
        <v>14</v>
      </c>
      <c r="D2" s="16">
        <f>Simple_regression_footfall!$E$10</f>
        <v>0.73628534000331114</v>
      </c>
      <c r="E2" s="15">
        <f>Simple_regression_footfall!E11</f>
        <v>0.73545604861967373</v>
      </c>
      <c r="F2" s="15">
        <f>Simple_regression_footfall!H17</f>
        <v>887.84877611276033</v>
      </c>
      <c r="G2" s="15">
        <f>Simple_regression_footfall!E23</f>
        <v>35.678031072640458</v>
      </c>
      <c r="H2" s="15">
        <f>Simple_regression_footfall!H23</f>
        <v>4.7503615090054677E-94</v>
      </c>
      <c r="I2" s="15" t="s">
        <v>14</v>
      </c>
      <c r="J2" s="17" t="s">
        <v>15</v>
      </c>
      <c r="K2" s="18" t="s">
        <v>16</v>
      </c>
      <c r="L2" s="18" t="s">
        <v>17</v>
      </c>
    </row>
    <row r="3" spans="1:12" ht="53.25">
      <c r="A3" s="14" t="s">
        <v>18</v>
      </c>
      <c r="B3" s="15" t="s">
        <v>13</v>
      </c>
      <c r="C3" s="15" t="s">
        <v>19</v>
      </c>
      <c r="D3" s="15">
        <f>Simple_regression_marketing!E10</f>
        <v>0.16724469112487</v>
      </c>
      <c r="E3" s="15">
        <f>Simple_regression_marketing!E11</f>
        <v>0.16462596373847024</v>
      </c>
      <c r="F3" s="15">
        <f>Simple_regression_marketing!H17</f>
        <v>63.864872683367629</v>
      </c>
      <c r="G3" s="15">
        <f>Simple_regression_marketing!E23</f>
        <v>2.1295753275898281</v>
      </c>
      <c r="H3" s="15">
        <f>Simple_regression_marketing!H23</f>
        <v>2.4800615101360068E-14</v>
      </c>
      <c r="I3" s="15" t="s">
        <v>19</v>
      </c>
      <c r="J3" s="18" t="s">
        <v>20</v>
      </c>
      <c r="K3" s="18" t="s">
        <v>21</v>
      </c>
      <c r="L3" s="18" t="s">
        <v>17</v>
      </c>
    </row>
    <row r="4" spans="1:12" s="1" customFormat="1" ht="40.5">
      <c r="A4" s="14" t="s">
        <v>22</v>
      </c>
      <c r="B4" s="14" t="s">
        <v>13</v>
      </c>
      <c r="C4" s="14" t="s">
        <v>23</v>
      </c>
      <c r="D4" s="14">
        <f>Simple_regression_avg_discount!E11</f>
        <v>8.2905030244002989E-3</v>
      </c>
      <c r="E4" s="14">
        <f>Simple_regression_avg_discount!E12</f>
        <v>5.171919700577658E-3</v>
      </c>
      <c r="F4" s="14">
        <f>Simple_regression_avg_discount!H18</f>
        <v>2.658419597472264</v>
      </c>
      <c r="G4" s="14">
        <f>Simple_regression_avg_discount!E24</f>
        <v>-138730.45471638071</v>
      </c>
      <c r="H4" s="14">
        <f>Simple_regression_avg_discount!H24</f>
        <v>0.10399304641903374</v>
      </c>
      <c r="I4" s="14" t="s">
        <v>24</v>
      </c>
      <c r="J4" s="18" t="s">
        <v>25</v>
      </c>
      <c r="K4" s="18" t="s">
        <v>26</v>
      </c>
      <c r="L4" s="18" t="s">
        <v>27</v>
      </c>
    </row>
    <row r="5" spans="1:12" s="1" customFormat="1" ht="60.75">
      <c r="A5" s="14" t="s">
        <v>28</v>
      </c>
      <c r="B5" s="14" t="s">
        <v>13</v>
      </c>
      <c r="C5" s="14" t="s">
        <v>29</v>
      </c>
      <c r="D5" s="14">
        <f>Multiple_regression!N10</f>
        <v>0.82813225047460481</v>
      </c>
      <c r="E5" s="14">
        <f>Multiple_regression!N11</f>
        <v>0.82257018738316801</v>
      </c>
      <c r="F5" s="14">
        <f>Multiple_regression!Q17</f>
        <v>148.88940252216557</v>
      </c>
      <c r="G5" s="14">
        <f>Multiple_regression!N24</f>
        <v>27.904949940267098</v>
      </c>
      <c r="H5" s="14">
        <f>Multiple_regression!Q24</f>
        <v>2.0293132639279734E-24</v>
      </c>
      <c r="I5" s="14" t="s">
        <v>30</v>
      </c>
      <c r="J5" s="17" t="s">
        <v>31</v>
      </c>
      <c r="K5" s="18" t="s">
        <v>32</v>
      </c>
      <c r="L5" s="1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0215-36BF-409F-AE73-B1DA98796CC8}">
  <dimension ref="A1:R321"/>
  <sheetViews>
    <sheetView tabSelected="1" topLeftCell="D1" zoomScaleNormal="100" zoomScaleSheetLayoutView="100" workbookViewId="0">
      <selection activeCell="K7" sqref="K7"/>
    </sheetView>
  </sheetViews>
  <sheetFormatPr defaultRowHeight="13.9"/>
  <cols>
    <col min="1" max="18" width="16" customWidth="1"/>
  </cols>
  <sheetData>
    <row r="1" spans="1:18" ht="27.95" customHeight="1">
      <c r="A1" s="2" t="s">
        <v>34</v>
      </c>
      <c r="B1" s="2" t="s">
        <v>35</v>
      </c>
      <c r="C1" s="2" t="s">
        <v>36</v>
      </c>
      <c r="D1" s="2" t="s">
        <v>37</v>
      </c>
      <c r="E1" s="2" t="s">
        <v>19</v>
      </c>
      <c r="F1" s="2" t="s">
        <v>14</v>
      </c>
      <c r="G1" s="2" t="s">
        <v>23</v>
      </c>
      <c r="H1" s="2" t="s">
        <v>38</v>
      </c>
      <c r="I1" s="2" t="s">
        <v>39</v>
      </c>
      <c r="J1" s="2" t="s">
        <v>40</v>
      </c>
      <c r="K1" s="5" t="s">
        <v>41</v>
      </c>
      <c r="L1" s="5" t="s">
        <v>42</v>
      </c>
      <c r="M1" s="2" t="s">
        <v>43</v>
      </c>
      <c r="N1" s="2" t="s">
        <v>44</v>
      </c>
      <c r="O1" s="5" t="s">
        <v>45</v>
      </c>
      <c r="P1" s="5" t="s">
        <v>46</v>
      </c>
      <c r="Q1" s="2" t="s">
        <v>13</v>
      </c>
      <c r="R1" s="2" t="s">
        <v>47</v>
      </c>
    </row>
    <row r="2" spans="1:18" ht="14.45">
      <c r="A2" s="3" t="s">
        <v>48</v>
      </c>
      <c r="B2" s="4">
        <v>45658</v>
      </c>
      <c r="C2" s="3" t="s">
        <v>49</v>
      </c>
      <c r="D2" s="3" t="s">
        <v>50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f>IF(ISBLANK(J2),MEDIAN($J$2:$J$321),J2)</f>
        <v>5.28</v>
      </c>
      <c r="L2" s="3">
        <f>IF(ISBLANK(J2),1,0)</f>
        <v>0</v>
      </c>
      <c r="M2" s="3">
        <v>1</v>
      </c>
      <c r="N2" s="3">
        <v>3.1</v>
      </c>
      <c r="O2" s="3">
        <f>IF(ISBLANK(N2),MEDIAN($N$2:$N$321),N2)</f>
        <v>3.1</v>
      </c>
      <c r="P2" s="3">
        <f>IF(ISBLANK(N2),1,0)</f>
        <v>0</v>
      </c>
      <c r="Q2" s="3">
        <v>658832.62</v>
      </c>
      <c r="R2" s="3">
        <v>84349.93</v>
      </c>
    </row>
    <row r="3" spans="1:18" ht="14.45">
      <c r="A3" s="3" t="s">
        <v>48</v>
      </c>
      <c r="B3" s="4">
        <v>45689</v>
      </c>
      <c r="C3" s="3" t="s">
        <v>49</v>
      </c>
      <c r="D3" s="3" t="s">
        <v>50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f t="shared" ref="K3:K66" si="0">IF(ISBLANK(J3),MEDIAN($J$2:$J$321),J3)</f>
        <v>4.3099999999999996</v>
      </c>
      <c r="L3" s="3">
        <f t="shared" ref="L3:L66" si="1">IF(ISBLANK(J3),1,0)</f>
        <v>0</v>
      </c>
      <c r="M3" s="3">
        <v>0</v>
      </c>
      <c r="N3" s="3">
        <v>2.8</v>
      </c>
      <c r="O3" s="3">
        <f t="shared" ref="O3:O66" si="2">IF(ISBLANK(N3),MEDIAN($N$2:$N$321),N3)</f>
        <v>2.8</v>
      </c>
      <c r="P3" s="3">
        <f t="shared" ref="P3:P66" si="3">IF(ISBLANK(N3),1,0)</f>
        <v>0</v>
      </c>
      <c r="Q3" s="3">
        <v>634436</v>
      </c>
      <c r="R3" s="3">
        <v>106130.54</v>
      </c>
    </row>
    <row r="4" spans="1:18" ht="14.45">
      <c r="A4" s="3" t="s">
        <v>48</v>
      </c>
      <c r="B4" s="4">
        <v>45717</v>
      </c>
      <c r="C4" s="3" t="s">
        <v>49</v>
      </c>
      <c r="D4" s="3" t="s">
        <v>50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f t="shared" si="0"/>
        <v>12</v>
      </c>
      <c r="L4" s="3">
        <f t="shared" si="1"/>
        <v>0</v>
      </c>
      <c r="M4" s="3">
        <v>0</v>
      </c>
      <c r="N4" s="3">
        <v>3.2</v>
      </c>
      <c r="O4" s="3">
        <f t="shared" si="2"/>
        <v>3.2</v>
      </c>
      <c r="P4" s="3">
        <f t="shared" si="3"/>
        <v>0</v>
      </c>
      <c r="Q4" s="3">
        <v>678722.06</v>
      </c>
      <c r="R4" s="3">
        <v>101883.86</v>
      </c>
    </row>
    <row r="5" spans="1:18" ht="14.45">
      <c r="A5" s="3" t="s">
        <v>48</v>
      </c>
      <c r="B5" s="4">
        <v>45748</v>
      </c>
      <c r="C5" s="3" t="s">
        <v>49</v>
      </c>
      <c r="D5" s="3" t="s">
        <v>50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f t="shared" si="0"/>
        <v>4.97</v>
      </c>
      <c r="L5" s="3">
        <f t="shared" si="1"/>
        <v>0</v>
      </c>
      <c r="M5" s="3">
        <v>0</v>
      </c>
      <c r="N5" s="3">
        <v>3.4</v>
      </c>
      <c r="O5" s="3">
        <f t="shared" si="2"/>
        <v>3.4</v>
      </c>
      <c r="P5" s="3">
        <f t="shared" si="3"/>
        <v>0</v>
      </c>
      <c r="Q5" s="3">
        <v>658920.30000000005</v>
      </c>
      <c r="R5" s="3">
        <v>97910.37</v>
      </c>
    </row>
    <row r="6" spans="1:18" ht="14.45">
      <c r="A6" s="3" t="s">
        <v>51</v>
      </c>
      <c r="B6" s="4">
        <v>45658</v>
      </c>
      <c r="C6" s="3" t="s">
        <v>49</v>
      </c>
      <c r="D6" s="3" t="s">
        <v>52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f t="shared" si="0"/>
        <v>6.94</v>
      </c>
      <c r="L6" s="3">
        <f t="shared" si="1"/>
        <v>0</v>
      </c>
      <c r="M6" s="3">
        <v>1</v>
      </c>
      <c r="N6" s="3">
        <v>4.2</v>
      </c>
      <c r="O6" s="3">
        <f t="shared" si="2"/>
        <v>4.2</v>
      </c>
      <c r="P6" s="3">
        <f t="shared" si="3"/>
        <v>0</v>
      </c>
      <c r="Q6" s="3">
        <v>741341.44</v>
      </c>
      <c r="R6" s="3">
        <v>119208.17</v>
      </c>
    </row>
    <row r="7" spans="1:18" ht="14.45">
      <c r="A7" s="3" t="s">
        <v>51</v>
      </c>
      <c r="B7" s="4">
        <v>45689</v>
      </c>
      <c r="C7" s="3" t="s">
        <v>49</v>
      </c>
      <c r="D7" s="3" t="s">
        <v>52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f t="shared" si="0"/>
        <v>2.88</v>
      </c>
      <c r="L7" s="3">
        <f t="shared" si="1"/>
        <v>0</v>
      </c>
      <c r="M7" s="3">
        <v>0</v>
      </c>
      <c r="N7" s="3">
        <v>4.2</v>
      </c>
      <c r="O7" s="3">
        <f t="shared" si="2"/>
        <v>4.2</v>
      </c>
      <c r="P7" s="3">
        <f t="shared" si="3"/>
        <v>0</v>
      </c>
      <c r="Q7" s="3">
        <v>761835.34</v>
      </c>
      <c r="R7" s="3">
        <v>149602.23000000001</v>
      </c>
    </row>
    <row r="8" spans="1:18" ht="14.45">
      <c r="A8" s="3" t="s">
        <v>51</v>
      </c>
      <c r="B8" s="4">
        <v>45717</v>
      </c>
      <c r="C8" s="3" t="s">
        <v>49</v>
      </c>
      <c r="D8" s="3" t="s">
        <v>52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f t="shared" si="0"/>
        <v>0.2</v>
      </c>
      <c r="L8" s="3">
        <f t="shared" si="1"/>
        <v>0</v>
      </c>
      <c r="M8" s="3">
        <v>1</v>
      </c>
      <c r="N8" s="3">
        <v>4.0999999999999996</v>
      </c>
      <c r="O8" s="3">
        <f t="shared" si="2"/>
        <v>4.0999999999999996</v>
      </c>
      <c r="P8" s="3">
        <f t="shared" si="3"/>
        <v>0</v>
      </c>
      <c r="Q8" s="3">
        <v>806615.54</v>
      </c>
      <c r="R8" s="3">
        <v>131364.62</v>
      </c>
    </row>
    <row r="9" spans="1:18" ht="14.45">
      <c r="A9" s="3" t="s">
        <v>51</v>
      </c>
      <c r="B9" s="4">
        <v>45748</v>
      </c>
      <c r="C9" s="3" t="s">
        <v>49</v>
      </c>
      <c r="D9" s="3" t="s">
        <v>52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f t="shared" si="0"/>
        <v>0.8</v>
      </c>
      <c r="L9" s="3">
        <f t="shared" si="1"/>
        <v>0</v>
      </c>
      <c r="M9" s="3">
        <v>0</v>
      </c>
      <c r="N9" s="3">
        <v>3.9</v>
      </c>
      <c r="O9" s="3">
        <f t="shared" si="2"/>
        <v>3.9</v>
      </c>
      <c r="P9" s="3">
        <f t="shared" si="3"/>
        <v>0</v>
      </c>
      <c r="Q9" s="3">
        <v>850164.26</v>
      </c>
      <c r="R9" s="3">
        <v>149262.75</v>
      </c>
    </row>
    <row r="10" spans="1:18" ht="14.45">
      <c r="A10" s="3" t="s">
        <v>53</v>
      </c>
      <c r="B10" s="4">
        <v>45658</v>
      </c>
      <c r="C10" s="3" t="s">
        <v>54</v>
      </c>
      <c r="D10" s="3" t="s">
        <v>55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f t="shared" si="0"/>
        <v>7.7</v>
      </c>
      <c r="L10" s="3">
        <f t="shared" si="1"/>
        <v>0</v>
      </c>
      <c r="M10" s="3">
        <v>1</v>
      </c>
      <c r="N10" s="3">
        <v>3.8</v>
      </c>
      <c r="O10" s="3">
        <f t="shared" si="2"/>
        <v>3.8</v>
      </c>
      <c r="P10" s="3">
        <f t="shared" si="3"/>
        <v>0</v>
      </c>
      <c r="Q10" s="3">
        <v>930581.7</v>
      </c>
      <c r="R10" s="3">
        <v>136207.98000000001</v>
      </c>
    </row>
    <row r="11" spans="1:18" ht="14.45">
      <c r="A11" s="3" t="s">
        <v>53</v>
      </c>
      <c r="B11" s="4">
        <v>45689</v>
      </c>
      <c r="C11" s="3" t="s">
        <v>54</v>
      </c>
      <c r="D11" s="3" t="s">
        <v>55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f t="shared" si="0"/>
        <v>1.91</v>
      </c>
      <c r="L11" s="3">
        <f t="shared" si="1"/>
        <v>0</v>
      </c>
      <c r="M11" s="3">
        <v>0</v>
      </c>
      <c r="N11" s="3">
        <v>4.2</v>
      </c>
      <c r="O11" s="3">
        <f t="shared" si="2"/>
        <v>4.2</v>
      </c>
      <c r="P11" s="3">
        <f t="shared" si="3"/>
        <v>0</v>
      </c>
      <c r="Q11" s="3">
        <v>779010.94</v>
      </c>
      <c r="R11" s="3">
        <v>106328.09</v>
      </c>
    </row>
    <row r="12" spans="1:18" ht="14.45">
      <c r="A12" s="3" t="s">
        <v>53</v>
      </c>
      <c r="B12" s="4">
        <v>45717</v>
      </c>
      <c r="C12" s="3" t="s">
        <v>54</v>
      </c>
      <c r="D12" s="3" t="s">
        <v>55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f t="shared" si="0"/>
        <v>10.46</v>
      </c>
      <c r="L12" s="3">
        <f t="shared" si="1"/>
        <v>0</v>
      </c>
      <c r="M12" s="3">
        <v>1</v>
      </c>
      <c r="N12" s="3">
        <v>3.8</v>
      </c>
      <c r="O12" s="3">
        <f t="shared" si="2"/>
        <v>3.8</v>
      </c>
      <c r="P12" s="3">
        <f t="shared" si="3"/>
        <v>0</v>
      </c>
      <c r="Q12" s="3">
        <v>723060.76</v>
      </c>
      <c r="R12" s="3">
        <v>123131.24</v>
      </c>
    </row>
    <row r="13" spans="1:18" ht="14.45">
      <c r="A13" s="3" t="s">
        <v>53</v>
      </c>
      <c r="B13" s="4">
        <v>45748</v>
      </c>
      <c r="C13" s="3" t="s">
        <v>54</v>
      </c>
      <c r="D13" s="3" t="s">
        <v>55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f t="shared" si="0"/>
        <v>7.16</v>
      </c>
      <c r="L13" s="3">
        <f t="shared" si="1"/>
        <v>0</v>
      </c>
      <c r="M13" s="3">
        <v>0</v>
      </c>
      <c r="N13" s="3">
        <v>3.8</v>
      </c>
      <c r="O13" s="3">
        <f t="shared" si="2"/>
        <v>3.8</v>
      </c>
      <c r="P13" s="3">
        <f t="shared" si="3"/>
        <v>0</v>
      </c>
      <c r="Q13" s="3">
        <v>910791.94</v>
      </c>
      <c r="R13" s="3">
        <v>158891.28</v>
      </c>
    </row>
    <row r="14" spans="1:18" ht="14.45">
      <c r="A14" s="3" t="s">
        <v>56</v>
      </c>
      <c r="B14" s="4">
        <v>45658</v>
      </c>
      <c r="C14" s="3" t="s">
        <v>49</v>
      </c>
      <c r="D14" s="3" t="s">
        <v>50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f t="shared" si="0"/>
        <v>4.24</v>
      </c>
      <c r="L14" s="3">
        <f t="shared" si="1"/>
        <v>0</v>
      </c>
      <c r="M14" s="3">
        <v>1</v>
      </c>
      <c r="N14" s="3">
        <v>4.2</v>
      </c>
      <c r="O14" s="3">
        <f t="shared" si="2"/>
        <v>4.2</v>
      </c>
      <c r="P14" s="3">
        <f t="shared" si="3"/>
        <v>0</v>
      </c>
      <c r="Q14" s="3">
        <v>922168.6</v>
      </c>
      <c r="R14" s="3">
        <v>107494.53</v>
      </c>
    </row>
    <row r="15" spans="1:18" ht="14.45">
      <c r="A15" s="3" t="s">
        <v>56</v>
      </c>
      <c r="B15" s="4">
        <v>45689</v>
      </c>
      <c r="C15" s="3" t="s">
        <v>49</v>
      </c>
      <c r="D15" s="3" t="s">
        <v>50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f t="shared" si="0"/>
        <v>1.06</v>
      </c>
      <c r="L15" s="3">
        <f t="shared" si="1"/>
        <v>0</v>
      </c>
      <c r="M15" s="3">
        <v>0</v>
      </c>
      <c r="N15" s="3">
        <v>4.3</v>
      </c>
      <c r="O15" s="3">
        <f t="shared" si="2"/>
        <v>4.3</v>
      </c>
      <c r="P15" s="3">
        <f t="shared" si="3"/>
        <v>0</v>
      </c>
      <c r="Q15" s="3">
        <v>726606.28</v>
      </c>
      <c r="R15" s="3">
        <v>122729.29</v>
      </c>
    </row>
    <row r="16" spans="1:18" ht="14.45">
      <c r="A16" s="3" t="s">
        <v>56</v>
      </c>
      <c r="B16" s="4">
        <v>45717</v>
      </c>
      <c r="C16" s="3" t="s">
        <v>49</v>
      </c>
      <c r="D16" s="3" t="s">
        <v>50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f t="shared" si="0"/>
        <v>0.27</v>
      </c>
      <c r="L16" s="3">
        <f t="shared" si="1"/>
        <v>0</v>
      </c>
      <c r="M16" s="3">
        <v>0</v>
      </c>
      <c r="N16" s="3">
        <v>4.3</v>
      </c>
      <c r="O16" s="3">
        <f t="shared" si="2"/>
        <v>4.3</v>
      </c>
      <c r="P16" s="3">
        <f t="shared" si="3"/>
        <v>0</v>
      </c>
      <c r="Q16" s="3">
        <v>746501.09</v>
      </c>
      <c r="R16" s="3">
        <v>136816.72</v>
      </c>
    </row>
    <row r="17" spans="1:18" ht="14.45">
      <c r="A17" s="3" t="s">
        <v>56</v>
      </c>
      <c r="B17" s="4">
        <v>45748</v>
      </c>
      <c r="C17" s="3" t="s">
        <v>49</v>
      </c>
      <c r="D17" s="3" t="s">
        <v>50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f t="shared" si="0"/>
        <v>1.32</v>
      </c>
      <c r="L17" s="3">
        <f t="shared" si="1"/>
        <v>0</v>
      </c>
      <c r="M17" s="3">
        <v>0</v>
      </c>
      <c r="N17" s="3">
        <v>4.5</v>
      </c>
      <c r="O17" s="3">
        <f t="shared" si="2"/>
        <v>4.5</v>
      </c>
      <c r="P17" s="3">
        <f t="shared" si="3"/>
        <v>0</v>
      </c>
      <c r="Q17" s="3">
        <v>834017.02</v>
      </c>
      <c r="R17" s="3">
        <v>114745.03</v>
      </c>
    </row>
    <row r="18" spans="1:18" ht="14.45">
      <c r="A18" s="3" t="s">
        <v>57</v>
      </c>
      <c r="B18" s="4">
        <v>45658</v>
      </c>
      <c r="C18" s="3" t="s">
        <v>58</v>
      </c>
      <c r="D18" s="3" t="s">
        <v>50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f t="shared" si="0"/>
        <v>1.22</v>
      </c>
      <c r="L18" s="3">
        <f t="shared" si="1"/>
        <v>0</v>
      </c>
      <c r="M18" s="3">
        <v>0</v>
      </c>
      <c r="N18" s="3">
        <v>3.7</v>
      </c>
      <c r="O18" s="3">
        <f t="shared" si="2"/>
        <v>3.7</v>
      </c>
      <c r="P18" s="3">
        <f t="shared" si="3"/>
        <v>0</v>
      </c>
      <c r="Q18" s="3">
        <v>666152.52</v>
      </c>
      <c r="R18" s="3">
        <v>107490.58</v>
      </c>
    </row>
    <row r="19" spans="1:18" ht="14.45">
      <c r="A19" s="3" t="s">
        <v>57</v>
      </c>
      <c r="B19" s="4">
        <v>45689</v>
      </c>
      <c r="C19" s="3" t="s">
        <v>58</v>
      </c>
      <c r="D19" s="3" t="s">
        <v>50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f t="shared" si="0"/>
        <v>4.01</v>
      </c>
      <c r="L19" s="3">
        <f t="shared" si="1"/>
        <v>0</v>
      </c>
      <c r="M19" s="3">
        <v>0</v>
      </c>
      <c r="N19" s="3">
        <v>3.6</v>
      </c>
      <c r="O19" s="3">
        <f t="shared" si="2"/>
        <v>3.6</v>
      </c>
      <c r="P19" s="3">
        <f t="shared" si="3"/>
        <v>0</v>
      </c>
      <c r="Q19" s="3">
        <v>573155.18999999994</v>
      </c>
      <c r="R19" s="3">
        <v>83680.75</v>
      </c>
    </row>
    <row r="20" spans="1:18" ht="14.45">
      <c r="A20" s="3" t="s">
        <v>57</v>
      </c>
      <c r="B20" s="4">
        <v>45717</v>
      </c>
      <c r="C20" s="3" t="s">
        <v>58</v>
      </c>
      <c r="D20" s="3" t="s">
        <v>50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f t="shared" si="0"/>
        <v>0.2</v>
      </c>
      <c r="L20" s="3">
        <f t="shared" si="1"/>
        <v>0</v>
      </c>
      <c r="M20" s="3">
        <v>0</v>
      </c>
      <c r="N20" s="3">
        <v>3.9</v>
      </c>
      <c r="O20" s="3">
        <f t="shared" si="2"/>
        <v>3.9</v>
      </c>
      <c r="P20" s="3">
        <f t="shared" si="3"/>
        <v>0</v>
      </c>
      <c r="Q20" s="3">
        <v>666573.19999999995</v>
      </c>
      <c r="R20" s="3">
        <v>140641.01999999999</v>
      </c>
    </row>
    <row r="21" spans="1:18" ht="14.45">
      <c r="A21" s="3" t="s">
        <v>57</v>
      </c>
      <c r="B21" s="4">
        <v>45748</v>
      </c>
      <c r="C21" s="3" t="s">
        <v>58</v>
      </c>
      <c r="D21" s="3" t="s">
        <v>50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f t="shared" si="0"/>
        <v>0.5</v>
      </c>
      <c r="L21" s="3">
        <f t="shared" si="1"/>
        <v>0</v>
      </c>
      <c r="M21" s="3">
        <v>0</v>
      </c>
      <c r="N21" s="3">
        <v>4</v>
      </c>
      <c r="O21" s="3">
        <f t="shared" si="2"/>
        <v>4</v>
      </c>
      <c r="P21" s="3">
        <f t="shared" si="3"/>
        <v>0</v>
      </c>
      <c r="Q21" s="3">
        <v>591619.94999999995</v>
      </c>
      <c r="R21" s="3">
        <v>99521.35</v>
      </c>
    </row>
    <row r="22" spans="1:18" ht="14.45">
      <c r="A22" s="3" t="s">
        <v>59</v>
      </c>
      <c r="B22" s="4">
        <v>45658</v>
      </c>
      <c r="C22" s="3" t="s">
        <v>54</v>
      </c>
      <c r="D22" s="3" t="s">
        <v>50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f t="shared" si="0"/>
        <v>6.95</v>
      </c>
      <c r="L22" s="3">
        <f t="shared" si="1"/>
        <v>0</v>
      </c>
      <c r="M22" s="3">
        <v>0</v>
      </c>
      <c r="N22" s="3">
        <v>5</v>
      </c>
      <c r="O22" s="3">
        <f t="shared" si="2"/>
        <v>5</v>
      </c>
      <c r="P22" s="3">
        <f t="shared" si="3"/>
        <v>0</v>
      </c>
      <c r="Q22" s="3">
        <v>415721.82</v>
      </c>
      <c r="R22" s="3">
        <v>61179.15</v>
      </c>
    </row>
    <row r="23" spans="1:18" ht="14.45">
      <c r="A23" s="3" t="s">
        <v>59</v>
      </c>
      <c r="B23" s="4">
        <v>45689</v>
      </c>
      <c r="C23" s="3" t="s">
        <v>54</v>
      </c>
      <c r="D23" s="3" t="s">
        <v>50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f t="shared" si="0"/>
        <v>0.2</v>
      </c>
      <c r="L23" s="3">
        <f t="shared" si="1"/>
        <v>0</v>
      </c>
      <c r="M23" s="3">
        <v>0</v>
      </c>
      <c r="N23" s="3">
        <v>5</v>
      </c>
      <c r="O23" s="3">
        <f t="shared" si="2"/>
        <v>5</v>
      </c>
      <c r="P23" s="3">
        <f t="shared" si="3"/>
        <v>0</v>
      </c>
      <c r="Q23" s="3">
        <v>491905.13</v>
      </c>
      <c r="R23" s="3">
        <v>79212.259999999995</v>
      </c>
    </row>
    <row r="24" spans="1:18" ht="14.45">
      <c r="A24" s="3" t="s">
        <v>59</v>
      </c>
      <c r="B24" s="4">
        <v>45717</v>
      </c>
      <c r="C24" s="3" t="s">
        <v>54</v>
      </c>
      <c r="D24" s="3" t="s">
        <v>50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f t="shared" si="0"/>
        <v>1.61</v>
      </c>
      <c r="L24" s="3">
        <f t="shared" si="1"/>
        <v>0</v>
      </c>
      <c r="M24" s="3">
        <v>1</v>
      </c>
      <c r="N24" s="3">
        <v>4.5999999999999996</v>
      </c>
      <c r="O24" s="3">
        <f t="shared" si="2"/>
        <v>4.5999999999999996</v>
      </c>
      <c r="P24" s="3">
        <f t="shared" si="3"/>
        <v>0</v>
      </c>
      <c r="Q24" s="3">
        <v>555929.4</v>
      </c>
      <c r="R24" s="3">
        <v>115201.76</v>
      </c>
    </row>
    <row r="25" spans="1:18" ht="14.45">
      <c r="A25" s="3" t="s">
        <v>59</v>
      </c>
      <c r="B25" s="4">
        <v>45748</v>
      </c>
      <c r="C25" s="3" t="s">
        <v>54</v>
      </c>
      <c r="D25" s="3" t="s">
        <v>50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f t="shared" si="0"/>
        <v>1.55</v>
      </c>
      <c r="L25" s="3">
        <f t="shared" si="1"/>
        <v>0</v>
      </c>
      <c r="M25" s="3">
        <v>0</v>
      </c>
      <c r="N25" s="3">
        <v>4.7</v>
      </c>
      <c r="O25" s="3">
        <f t="shared" si="2"/>
        <v>4.7</v>
      </c>
      <c r="P25" s="3">
        <f t="shared" si="3"/>
        <v>0</v>
      </c>
      <c r="Q25" s="3">
        <v>565810.99</v>
      </c>
      <c r="R25" s="3">
        <v>77825.460000000006</v>
      </c>
    </row>
    <row r="26" spans="1:18" ht="14.45">
      <c r="A26" s="3" t="s">
        <v>60</v>
      </c>
      <c r="B26" s="4">
        <v>45658</v>
      </c>
      <c r="C26" s="3" t="s">
        <v>61</v>
      </c>
      <c r="D26" s="3" t="s">
        <v>62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f t="shared" si="0"/>
        <v>2.99</v>
      </c>
      <c r="L26" s="3">
        <f t="shared" si="1"/>
        <v>0</v>
      </c>
      <c r="M26" s="3">
        <v>0</v>
      </c>
      <c r="N26" s="3">
        <v>3.5</v>
      </c>
      <c r="O26" s="3">
        <f t="shared" si="2"/>
        <v>3.5</v>
      </c>
      <c r="P26" s="3">
        <f t="shared" si="3"/>
        <v>0</v>
      </c>
      <c r="Q26" s="3">
        <v>811771.14</v>
      </c>
      <c r="R26" s="3">
        <v>148756.24</v>
      </c>
    </row>
    <row r="27" spans="1:18" ht="14.45">
      <c r="A27" s="3" t="s">
        <v>60</v>
      </c>
      <c r="B27" s="4">
        <v>45689</v>
      </c>
      <c r="C27" s="3" t="s">
        <v>61</v>
      </c>
      <c r="D27" s="3" t="s">
        <v>62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f t="shared" si="0"/>
        <v>7.04</v>
      </c>
      <c r="L27" s="3">
        <f t="shared" si="1"/>
        <v>0</v>
      </c>
      <c r="M27" s="3">
        <v>0</v>
      </c>
      <c r="N27" s="3">
        <v>3.9</v>
      </c>
      <c r="O27" s="3">
        <f t="shared" si="2"/>
        <v>3.9</v>
      </c>
      <c r="P27" s="3">
        <f t="shared" si="3"/>
        <v>0</v>
      </c>
      <c r="Q27" s="3">
        <v>800451.94</v>
      </c>
      <c r="R27" s="3">
        <v>111572.29</v>
      </c>
    </row>
    <row r="28" spans="1:18" ht="14.45">
      <c r="A28" s="3" t="s">
        <v>60</v>
      </c>
      <c r="B28" s="4">
        <v>45717</v>
      </c>
      <c r="C28" s="3" t="s">
        <v>61</v>
      </c>
      <c r="D28" s="3" t="s">
        <v>62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f t="shared" si="0"/>
        <v>4.9400000000000004</v>
      </c>
      <c r="L28" s="3">
        <f t="shared" si="1"/>
        <v>0</v>
      </c>
      <c r="M28" s="3">
        <v>0</v>
      </c>
      <c r="N28" s="3">
        <v>4</v>
      </c>
      <c r="O28" s="3">
        <f t="shared" si="2"/>
        <v>4</v>
      </c>
      <c r="P28" s="3">
        <f t="shared" si="3"/>
        <v>0</v>
      </c>
      <c r="Q28" s="3">
        <v>783672.82</v>
      </c>
      <c r="R28" s="3">
        <v>112577.14</v>
      </c>
    </row>
    <row r="29" spans="1:18" ht="14.45">
      <c r="A29" s="3" t="s">
        <v>60</v>
      </c>
      <c r="B29" s="4">
        <v>45748</v>
      </c>
      <c r="C29" s="3" t="s">
        <v>61</v>
      </c>
      <c r="D29" s="3" t="s">
        <v>62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f t="shared" si="0"/>
        <v>16.149999999999999</v>
      </c>
      <c r="L29" s="3">
        <f t="shared" si="1"/>
        <v>0</v>
      </c>
      <c r="M29" s="3">
        <v>0</v>
      </c>
      <c r="N29" s="3">
        <v>3.7</v>
      </c>
      <c r="O29" s="3">
        <f t="shared" si="2"/>
        <v>3.7</v>
      </c>
      <c r="P29" s="3">
        <f t="shared" si="3"/>
        <v>0</v>
      </c>
      <c r="Q29" s="3">
        <v>701641.97</v>
      </c>
      <c r="R29" s="3">
        <v>106111.86</v>
      </c>
    </row>
    <row r="30" spans="1:18" ht="14.45">
      <c r="A30" s="3" t="s">
        <v>63</v>
      </c>
      <c r="B30" s="4">
        <v>45658</v>
      </c>
      <c r="C30" s="3" t="s">
        <v>49</v>
      </c>
      <c r="D30" s="3" t="s">
        <v>50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f t="shared" si="0"/>
        <v>0.48</v>
      </c>
      <c r="L30" s="3">
        <f t="shared" si="1"/>
        <v>0</v>
      </c>
      <c r="M30" s="3">
        <v>0</v>
      </c>
      <c r="N30" s="3">
        <v>3.6</v>
      </c>
      <c r="O30" s="3">
        <f t="shared" si="2"/>
        <v>3.6</v>
      </c>
      <c r="P30" s="3">
        <f t="shared" si="3"/>
        <v>0</v>
      </c>
      <c r="Q30" s="3">
        <v>511844.41</v>
      </c>
      <c r="R30" s="3">
        <v>72774.44</v>
      </c>
    </row>
    <row r="31" spans="1:18" ht="14.45">
      <c r="A31" s="3" t="s">
        <v>63</v>
      </c>
      <c r="B31" s="4">
        <v>45689</v>
      </c>
      <c r="C31" s="3" t="s">
        <v>49</v>
      </c>
      <c r="D31" s="3" t="s">
        <v>50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f t="shared" si="0"/>
        <v>0.31</v>
      </c>
      <c r="L31" s="3">
        <f t="shared" si="1"/>
        <v>0</v>
      </c>
      <c r="M31" s="3">
        <v>0</v>
      </c>
      <c r="N31" s="3">
        <v>3.1</v>
      </c>
      <c r="O31" s="3">
        <f t="shared" si="2"/>
        <v>3.1</v>
      </c>
      <c r="P31" s="3">
        <f t="shared" si="3"/>
        <v>0</v>
      </c>
      <c r="Q31" s="3">
        <v>537383.79</v>
      </c>
      <c r="R31" s="3">
        <v>63773.27</v>
      </c>
    </row>
    <row r="32" spans="1:18" ht="14.45">
      <c r="A32" s="3" t="s">
        <v>63</v>
      </c>
      <c r="B32" s="4">
        <v>45717</v>
      </c>
      <c r="C32" s="3" t="s">
        <v>49</v>
      </c>
      <c r="D32" s="3" t="s">
        <v>50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f t="shared" si="0"/>
        <v>3.01</v>
      </c>
      <c r="L32" s="3">
        <f t="shared" si="1"/>
        <v>0</v>
      </c>
      <c r="M32" s="3">
        <v>1</v>
      </c>
      <c r="N32" s="3">
        <v>3.7</v>
      </c>
      <c r="O32" s="3">
        <f t="shared" si="2"/>
        <v>3.7</v>
      </c>
      <c r="P32" s="3">
        <f t="shared" si="3"/>
        <v>0</v>
      </c>
      <c r="Q32" s="3">
        <v>500173.02</v>
      </c>
      <c r="R32" s="3">
        <v>70982.05</v>
      </c>
    </row>
    <row r="33" spans="1:18" ht="14.45">
      <c r="A33" s="3" t="s">
        <v>63</v>
      </c>
      <c r="B33" s="4">
        <v>45748</v>
      </c>
      <c r="C33" s="3" t="s">
        <v>49</v>
      </c>
      <c r="D33" s="3" t="s">
        <v>50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f t="shared" si="0"/>
        <v>12.15</v>
      </c>
      <c r="L33" s="3">
        <f t="shared" si="1"/>
        <v>0</v>
      </c>
      <c r="M33" s="3">
        <v>0</v>
      </c>
      <c r="N33" s="3">
        <v>3.6</v>
      </c>
      <c r="O33" s="3">
        <f t="shared" si="2"/>
        <v>3.6</v>
      </c>
      <c r="P33" s="3">
        <f t="shared" si="3"/>
        <v>0</v>
      </c>
      <c r="Q33" s="3">
        <v>427917.38</v>
      </c>
      <c r="R33" s="3">
        <v>81824.31</v>
      </c>
    </row>
    <row r="34" spans="1:18" ht="14.45">
      <c r="A34" s="3" t="s">
        <v>64</v>
      </c>
      <c r="B34" s="4">
        <v>45658</v>
      </c>
      <c r="C34" s="3" t="s">
        <v>54</v>
      </c>
      <c r="D34" s="3" t="s">
        <v>50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f t="shared" si="0"/>
        <v>11.71</v>
      </c>
      <c r="L34" s="3">
        <f t="shared" si="1"/>
        <v>0</v>
      </c>
      <c r="M34" s="3">
        <v>0</v>
      </c>
      <c r="N34" s="3">
        <v>4.2</v>
      </c>
      <c r="O34" s="3">
        <f t="shared" si="2"/>
        <v>4.2</v>
      </c>
      <c r="P34" s="3">
        <f t="shared" si="3"/>
        <v>0</v>
      </c>
      <c r="Q34" s="3">
        <v>641865.03</v>
      </c>
      <c r="R34" s="3">
        <v>81342.58</v>
      </c>
    </row>
    <row r="35" spans="1:18" ht="14.45">
      <c r="A35" s="3" t="s">
        <v>64</v>
      </c>
      <c r="B35" s="4">
        <v>45689</v>
      </c>
      <c r="C35" s="3" t="s">
        <v>54</v>
      </c>
      <c r="D35" s="3" t="s">
        <v>50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f t="shared" si="0"/>
        <v>0.62</v>
      </c>
      <c r="L35" s="3">
        <f t="shared" si="1"/>
        <v>0</v>
      </c>
      <c r="M35" s="3">
        <v>0</v>
      </c>
      <c r="N35" s="3"/>
      <c r="O35" s="3">
        <f t="shared" si="2"/>
        <v>3.9</v>
      </c>
      <c r="P35" s="3">
        <f t="shared" si="3"/>
        <v>1</v>
      </c>
      <c r="Q35" s="3">
        <v>799477.76000000001</v>
      </c>
      <c r="R35" s="3">
        <v>164974.41</v>
      </c>
    </row>
    <row r="36" spans="1:18" ht="14.45">
      <c r="A36" s="3" t="s">
        <v>64</v>
      </c>
      <c r="B36" s="4">
        <v>45717</v>
      </c>
      <c r="C36" s="3" t="s">
        <v>54</v>
      </c>
      <c r="D36" s="3" t="s">
        <v>50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f t="shared" si="0"/>
        <v>2.12</v>
      </c>
      <c r="L36" s="3">
        <f t="shared" si="1"/>
        <v>0</v>
      </c>
      <c r="M36" s="3">
        <v>0</v>
      </c>
      <c r="N36" s="3">
        <v>3.5</v>
      </c>
      <c r="O36" s="3">
        <f t="shared" si="2"/>
        <v>3.5</v>
      </c>
      <c r="P36" s="3">
        <f t="shared" si="3"/>
        <v>0</v>
      </c>
      <c r="Q36" s="3">
        <v>798952.17</v>
      </c>
      <c r="R36" s="3">
        <v>161499.04</v>
      </c>
    </row>
    <row r="37" spans="1:18" ht="14.45">
      <c r="A37" s="3" t="s">
        <v>64</v>
      </c>
      <c r="B37" s="4">
        <v>45748</v>
      </c>
      <c r="C37" s="3" t="s">
        <v>54</v>
      </c>
      <c r="D37" s="3" t="s">
        <v>50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f t="shared" si="0"/>
        <v>6.31</v>
      </c>
      <c r="L37" s="3">
        <f t="shared" si="1"/>
        <v>0</v>
      </c>
      <c r="M37" s="3">
        <v>0</v>
      </c>
      <c r="N37" s="3">
        <v>3.6</v>
      </c>
      <c r="O37" s="3">
        <f t="shared" si="2"/>
        <v>3.6</v>
      </c>
      <c r="P37" s="3">
        <f t="shared" si="3"/>
        <v>0</v>
      </c>
      <c r="Q37" s="3">
        <v>800979.78</v>
      </c>
      <c r="R37" s="3">
        <v>149242.26999999999</v>
      </c>
    </row>
    <row r="38" spans="1:18" ht="14.45">
      <c r="A38" s="3" t="s">
        <v>65</v>
      </c>
      <c r="B38" s="4">
        <v>45658</v>
      </c>
      <c r="C38" s="3" t="s">
        <v>54</v>
      </c>
      <c r="D38" s="3" t="s">
        <v>62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f t="shared" si="0"/>
        <v>9.56</v>
      </c>
      <c r="L38" s="3">
        <f t="shared" si="1"/>
        <v>0</v>
      </c>
      <c r="M38" s="3">
        <v>1</v>
      </c>
      <c r="N38" s="3">
        <v>4.2</v>
      </c>
      <c r="O38" s="3">
        <f t="shared" si="2"/>
        <v>4.2</v>
      </c>
      <c r="P38" s="3">
        <f t="shared" si="3"/>
        <v>0</v>
      </c>
      <c r="Q38" s="3">
        <v>820593.93</v>
      </c>
      <c r="R38" s="3">
        <v>115860.06</v>
      </c>
    </row>
    <row r="39" spans="1:18" ht="14.45">
      <c r="A39" s="3" t="s">
        <v>65</v>
      </c>
      <c r="B39" s="4">
        <v>45689</v>
      </c>
      <c r="C39" s="3" t="s">
        <v>54</v>
      </c>
      <c r="D39" s="3" t="s">
        <v>62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f t="shared" si="0"/>
        <v>9.0500000000000007</v>
      </c>
      <c r="L39" s="3">
        <f t="shared" si="1"/>
        <v>0</v>
      </c>
      <c r="M39" s="3">
        <v>0</v>
      </c>
      <c r="N39" s="3">
        <v>3.8</v>
      </c>
      <c r="O39" s="3">
        <f t="shared" si="2"/>
        <v>3.8</v>
      </c>
      <c r="P39" s="3">
        <f t="shared" si="3"/>
        <v>0</v>
      </c>
      <c r="Q39" s="3">
        <v>718330.53</v>
      </c>
      <c r="R39" s="3">
        <v>93247.9</v>
      </c>
    </row>
    <row r="40" spans="1:18" ht="14.45">
      <c r="A40" s="3" t="s">
        <v>65</v>
      </c>
      <c r="B40" s="4">
        <v>45717</v>
      </c>
      <c r="C40" s="3" t="s">
        <v>54</v>
      </c>
      <c r="D40" s="3" t="s">
        <v>62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f t="shared" si="0"/>
        <v>5.05</v>
      </c>
      <c r="L40" s="3">
        <f t="shared" si="1"/>
        <v>0</v>
      </c>
      <c r="M40" s="3">
        <v>0</v>
      </c>
      <c r="N40" s="3">
        <v>4</v>
      </c>
      <c r="O40" s="3">
        <f t="shared" si="2"/>
        <v>4</v>
      </c>
      <c r="P40" s="3">
        <f t="shared" si="3"/>
        <v>0</v>
      </c>
      <c r="Q40" s="3">
        <v>736633.4</v>
      </c>
      <c r="R40" s="3">
        <v>115654.66</v>
      </c>
    </row>
    <row r="41" spans="1:18" ht="14.45">
      <c r="A41" s="3" t="s">
        <v>65</v>
      </c>
      <c r="B41" s="4">
        <v>45748</v>
      </c>
      <c r="C41" s="3" t="s">
        <v>54</v>
      </c>
      <c r="D41" s="3" t="s">
        <v>62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f t="shared" si="0"/>
        <v>0.89</v>
      </c>
      <c r="L41" s="3">
        <f t="shared" si="1"/>
        <v>0</v>
      </c>
      <c r="M41" s="3">
        <v>0</v>
      </c>
      <c r="N41" s="3">
        <v>3.8</v>
      </c>
      <c r="O41" s="3">
        <f t="shared" si="2"/>
        <v>3.8</v>
      </c>
      <c r="P41" s="3">
        <f t="shared" si="3"/>
        <v>0</v>
      </c>
      <c r="Q41" s="3">
        <v>828623.85</v>
      </c>
      <c r="R41" s="3">
        <v>167320.51999999999</v>
      </c>
    </row>
    <row r="42" spans="1:18" ht="14.45">
      <c r="A42" s="3" t="s">
        <v>66</v>
      </c>
      <c r="B42" s="4">
        <v>45658</v>
      </c>
      <c r="C42" s="3" t="s">
        <v>49</v>
      </c>
      <c r="D42" s="3" t="s">
        <v>62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f t="shared" si="0"/>
        <v>5.57</v>
      </c>
      <c r="L42" s="3">
        <f t="shared" si="1"/>
        <v>0</v>
      </c>
      <c r="M42" s="3">
        <v>0</v>
      </c>
      <c r="N42" s="3">
        <v>4.4000000000000004</v>
      </c>
      <c r="O42" s="3">
        <f t="shared" si="2"/>
        <v>4.4000000000000004</v>
      </c>
      <c r="P42" s="3">
        <f t="shared" si="3"/>
        <v>0</v>
      </c>
      <c r="Q42" s="3">
        <v>592195.85</v>
      </c>
      <c r="R42" s="3">
        <v>92291.56</v>
      </c>
    </row>
    <row r="43" spans="1:18" ht="14.45">
      <c r="A43" s="3" t="s">
        <v>66</v>
      </c>
      <c r="B43" s="4">
        <v>45689</v>
      </c>
      <c r="C43" s="3" t="s">
        <v>49</v>
      </c>
      <c r="D43" s="3" t="s">
        <v>62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f t="shared" si="0"/>
        <v>1.06</v>
      </c>
      <c r="L43" s="3">
        <f t="shared" si="1"/>
        <v>0</v>
      </c>
      <c r="M43" s="3">
        <v>0</v>
      </c>
      <c r="N43" s="3">
        <v>4.4000000000000004</v>
      </c>
      <c r="O43" s="3">
        <f t="shared" si="2"/>
        <v>4.4000000000000004</v>
      </c>
      <c r="P43" s="3">
        <f t="shared" si="3"/>
        <v>0</v>
      </c>
      <c r="Q43" s="3">
        <v>532644.46</v>
      </c>
      <c r="R43" s="3">
        <v>60681.32</v>
      </c>
    </row>
    <row r="44" spans="1:18" ht="14.45">
      <c r="A44" s="3" t="s">
        <v>66</v>
      </c>
      <c r="B44" s="4">
        <v>45717</v>
      </c>
      <c r="C44" s="3" t="s">
        <v>49</v>
      </c>
      <c r="D44" s="3" t="s">
        <v>62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f t="shared" si="0"/>
        <v>1.24</v>
      </c>
      <c r="L44" s="3">
        <f t="shared" si="1"/>
        <v>0</v>
      </c>
      <c r="M44" s="3">
        <v>1</v>
      </c>
      <c r="N44" s="3">
        <v>4</v>
      </c>
      <c r="O44" s="3">
        <f t="shared" si="2"/>
        <v>4</v>
      </c>
      <c r="P44" s="3">
        <f t="shared" si="3"/>
        <v>0</v>
      </c>
      <c r="Q44" s="3">
        <v>657429.18000000005</v>
      </c>
      <c r="R44" s="3">
        <v>88919.74</v>
      </c>
    </row>
    <row r="45" spans="1:18" ht="14.45">
      <c r="A45" s="3" t="s">
        <v>66</v>
      </c>
      <c r="B45" s="4">
        <v>45748</v>
      </c>
      <c r="C45" s="3" t="s">
        <v>49</v>
      </c>
      <c r="D45" s="3" t="s">
        <v>62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f t="shared" si="0"/>
        <v>4.5199999999999996</v>
      </c>
      <c r="L45" s="3">
        <f t="shared" si="1"/>
        <v>0</v>
      </c>
      <c r="M45" s="3">
        <v>0</v>
      </c>
      <c r="N45" s="3">
        <v>4.2</v>
      </c>
      <c r="O45" s="3">
        <f t="shared" si="2"/>
        <v>4.2</v>
      </c>
      <c r="P45" s="3">
        <f t="shared" si="3"/>
        <v>0</v>
      </c>
      <c r="Q45" s="3">
        <v>605178</v>
      </c>
      <c r="R45" s="3">
        <v>106958.74</v>
      </c>
    </row>
    <row r="46" spans="1:18" ht="14.45">
      <c r="A46" s="3" t="s">
        <v>67</v>
      </c>
      <c r="B46" s="4">
        <v>45658</v>
      </c>
      <c r="C46" s="3" t="s">
        <v>61</v>
      </c>
      <c r="D46" s="3" t="s">
        <v>50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f t="shared" si="0"/>
        <v>9.58</v>
      </c>
      <c r="L46" s="3">
        <f t="shared" si="1"/>
        <v>0</v>
      </c>
      <c r="M46" s="3">
        <v>0</v>
      </c>
      <c r="N46" s="3">
        <v>3.2</v>
      </c>
      <c r="O46" s="3">
        <f t="shared" si="2"/>
        <v>3.2</v>
      </c>
      <c r="P46" s="3">
        <f t="shared" si="3"/>
        <v>0</v>
      </c>
      <c r="Q46" s="3">
        <v>595467.6</v>
      </c>
      <c r="R46" s="3">
        <v>104276.46</v>
      </c>
    </row>
    <row r="47" spans="1:18" ht="14.45">
      <c r="A47" s="3" t="s">
        <v>67</v>
      </c>
      <c r="B47" s="4">
        <v>45689</v>
      </c>
      <c r="C47" s="3" t="s">
        <v>61</v>
      </c>
      <c r="D47" s="3" t="s">
        <v>50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f t="shared" si="0"/>
        <v>5.52</v>
      </c>
      <c r="L47" s="3">
        <f t="shared" si="1"/>
        <v>0</v>
      </c>
      <c r="M47" s="3">
        <v>0</v>
      </c>
      <c r="N47" s="3">
        <v>3.5</v>
      </c>
      <c r="O47" s="3">
        <f t="shared" si="2"/>
        <v>3.5</v>
      </c>
      <c r="P47" s="3">
        <f t="shared" si="3"/>
        <v>0</v>
      </c>
      <c r="Q47" s="3">
        <v>599603.4</v>
      </c>
      <c r="R47" s="3">
        <v>112685.12</v>
      </c>
    </row>
    <row r="48" spans="1:18" ht="14.45">
      <c r="A48" s="3" t="s">
        <v>67</v>
      </c>
      <c r="B48" s="4">
        <v>45717</v>
      </c>
      <c r="C48" s="3" t="s">
        <v>61</v>
      </c>
      <c r="D48" s="3" t="s">
        <v>50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f t="shared" si="0"/>
        <v>2.7</v>
      </c>
      <c r="L48" s="3">
        <f t="shared" si="1"/>
        <v>0</v>
      </c>
      <c r="M48" s="3">
        <v>1</v>
      </c>
      <c r="N48" s="3">
        <v>3.2</v>
      </c>
      <c r="O48" s="3">
        <f t="shared" si="2"/>
        <v>3.2</v>
      </c>
      <c r="P48" s="3">
        <f t="shared" si="3"/>
        <v>0</v>
      </c>
      <c r="Q48" s="3">
        <v>614800.09</v>
      </c>
      <c r="R48" s="3">
        <v>100044.2</v>
      </c>
    </row>
    <row r="49" spans="1:18" ht="14.45">
      <c r="A49" s="3" t="s">
        <v>67</v>
      </c>
      <c r="B49" s="4">
        <v>45748</v>
      </c>
      <c r="C49" s="3" t="s">
        <v>61</v>
      </c>
      <c r="D49" s="3" t="s">
        <v>50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f t="shared" si="0"/>
        <v>9.64</v>
      </c>
      <c r="L49" s="3">
        <f t="shared" si="1"/>
        <v>0</v>
      </c>
      <c r="M49" s="3">
        <v>0</v>
      </c>
      <c r="N49" s="3">
        <v>3.3</v>
      </c>
      <c r="O49" s="3">
        <f t="shared" si="2"/>
        <v>3.3</v>
      </c>
      <c r="P49" s="3">
        <f t="shared" si="3"/>
        <v>0</v>
      </c>
      <c r="Q49" s="3">
        <v>585365.73</v>
      </c>
      <c r="R49" s="3">
        <v>81011.520000000004</v>
      </c>
    </row>
    <row r="50" spans="1:18" ht="14.45">
      <c r="A50" s="3" t="s">
        <v>68</v>
      </c>
      <c r="B50" s="4">
        <v>45658</v>
      </c>
      <c r="C50" s="3" t="s">
        <v>54</v>
      </c>
      <c r="D50" s="3" t="s">
        <v>62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f t="shared" si="0"/>
        <v>3.49</v>
      </c>
      <c r="L50" s="3">
        <f t="shared" si="1"/>
        <v>0</v>
      </c>
      <c r="M50" s="3">
        <v>1</v>
      </c>
      <c r="N50" s="3">
        <v>4.7</v>
      </c>
      <c r="O50" s="3">
        <f t="shared" si="2"/>
        <v>4.7</v>
      </c>
      <c r="P50" s="3">
        <f t="shared" si="3"/>
        <v>0</v>
      </c>
      <c r="Q50" s="3">
        <v>622811.74</v>
      </c>
      <c r="R50" s="3">
        <v>109978.35</v>
      </c>
    </row>
    <row r="51" spans="1:18" ht="14.45">
      <c r="A51" s="3" t="s">
        <v>68</v>
      </c>
      <c r="B51" s="4">
        <v>45689</v>
      </c>
      <c r="C51" s="3" t="s">
        <v>54</v>
      </c>
      <c r="D51" s="3" t="s">
        <v>62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f t="shared" si="0"/>
        <v>9.11</v>
      </c>
      <c r="L51" s="3">
        <f t="shared" si="1"/>
        <v>0</v>
      </c>
      <c r="M51" s="3">
        <v>0</v>
      </c>
      <c r="N51" s="3">
        <v>4.5999999999999996</v>
      </c>
      <c r="O51" s="3">
        <f t="shared" si="2"/>
        <v>4.5999999999999996</v>
      </c>
      <c r="P51" s="3">
        <f t="shared" si="3"/>
        <v>0</v>
      </c>
      <c r="Q51" s="3">
        <v>603297.56999999995</v>
      </c>
      <c r="R51" s="3">
        <v>60592.26</v>
      </c>
    </row>
    <row r="52" spans="1:18" ht="14.45">
      <c r="A52" s="3" t="s">
        <v>68</v>
      </c>
      <c r="B52" s="4">
        <v>45717</v>
      </c>
      <c r="C52" s="3" t="s">
        <v>54</v>
      </c>
      <c r="D52" s="3" t="s">
        <v>62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f t="shared" si="0"/>
        <v>7.4</v>
      </c>
      <c r="L52" s="3">
        <f t="shared" si="1"/>
        <v>0</v>
      </c>
      <c r="M52" s="3">
        <v>0</v>
      </c>
      <c r="N52" s="3">
        <v>4.5</v>
      </c>
      <c r="O52" s="3">
        <f t="shared" si="2"/>
        <v>4.5</v>
      </c>
      <c r="P52" s="3">
        <f t="shared" si="3"/>
        <v>0</v>
      </c>
      <c r="Q52" s="3">
        <v>625672.86</v>
      </c>
      <c r="R52" s="3">
        <v>118020.12</v>
      </c>
    </row>
    <row r="53" spans="1:18" ht="14.45">
      <c r="A53" s="3" t="s">
        <v>68</v>
      </c>
      <c r="B53" s="4">
        <v>45748</v>
      </c>
      <c r="C53" s="3" t="s">
        <v>54</v>
      </c>
      <c r="D53" s="3" t="s">
        <v>62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f t="shared" si="0"/>
        <v>7.16</v>
      </c>
      <c r="L53" s="3">
        <f t="shared" si="1"/>
        <v>0</v>
      </c>
      <c r="M53" s="3">
        <v>0</v>
      </c>
      <c r="N53" s="3">
        <v>4.5999999999999996</v>
      </c>
      <c r="O53" s="3">
        <f t="shared" si="2"/>
        <v>4.5999999999999996</v>
      </c>
      <c r="P53" s="3">
        <f t="shared" si="3"/>
        <v>0</v>
      </c>
      <c r="Q53" s="3">
        <v>773815.14</v>
      </c>
      <c r="R53" s="3">
        <v>133948.39000000001</v>
      </c>
    </row>
    <row r="54" spans="1:18" ht="14.45">
      <c r="A54" s="3" t="s">
        <v>69</v>
      </c>
      <c r="B54" s="4">
        <v>45658</v>
      </c>
      <c r="C54" s="3" t="s">
        <v>61</v>
      </c>
      <c r="D54" s="3" t="s">
        <v>52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f t="shared" si="0"/>
        <v>22.02</v>
      </c>
      <c r="L54" s="3">
        <f t="shared" si="1"/>
        <v>0</v>
      </c>
      <c r="M54" s="3">
        <v>0</v>
      </c>
      <c r="N54" s="3">
        <v>3.9</v>
      </c>
      <c r="O54" s="3">
        <f t="shared" si="2"/>
        <v>3.9</v>
      </c>
      <c r="P54" s="3">
        <f t="shared" si="3"/>
        <v>0</v>
      </c>
      <c r="Q54" s="3">
        <v>463534.25</v>
      </c>
      <c r="R54" s="3">
        <v>81834.539999999994</v>
      </c>
    </row>
    <row r="55" spans="1:18" ht="14.45">
      <c r="A55" s="3" t="s">
        <v>69</v>
      </c>
      <c r="B55" s="4">
        <v>45689</v>
      </c>
      <c r="C55" s="3" t="s">
        <v>61</v>
      </c>
      <c r="D55" s="3" t="s">
        <v>52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f t="shared" si="0"/>
        <v>6.18</v>
      </c>
      <c r="L55" s="3">
        <f t="shared" si="1"/>
        <v>0</v>
      </c>
      <c r="M55" s="3">
        <v>0</v>
      </c>
      <c r="N55" s="3">
        <v>4.7</v>
      </c>
      <c r="O55" s="3">
        <f t="shared" si="2"/>
        <v>4.7</v>
      </c>
      <c r="P55" s="3">
        <f t="shared" si="3"/>
        <v>0</v>
      </c>
      <c r="Q55" s="3">
        <v>746677.75</v>
      </c>
      <c r="R55" s="3">
        <v>122437.84</v>
      </c>
    </row>
    <row r="56" spans="1:18" ht="14.45">
      <c r="A56" s="3" t="s">
        <v>69</v>
      </c>
      <c r="B56" s="4">
        <v>45717</v>
      </c>
      <c r="C56" s="3" t="s">
        <v>61</v>
      </c>
      <c r="D56" s="3" t="s">
        <v>52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f t="shared" si="0"/>
        <v>1.76</v>
      </c>
      <c r="L56" s="3">
        <f t="shared" si="1"/>
        <v>0</v>
      </c>
      <c r="M56" s="3">
        <v>0</v>
      </c>
      <c r="N56" s="3">
        <v>4.3</v>
      </c>
      <c r="O56" s="3">
        <f t="shared" si="2"/>
        <v>4.3</v>
      </c>
      <c r="P56" s="3">
        <f t="shared" si="3"/>
        <v>0</v>
      </c>
      <c r="Q56" s="3">
        <v>720852.5</v>
      </c>
      <c r="R56" s="3">
        <v>98565.62</v>
      </c>
    </row>
    <row r="57" spans="1:18" ht="14.45">
      <c r="A57" s="3" t="s">
        <v>69</v>
      </c>
      <c r="B57" s="4">
        <v>45748</v>
      </c>
      <c r="C57" s="3" t="s">
        <v>61</v>
      </c>
      <c r="D57" s="3" t="s">
        <v>52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f t="shared" si="0"/>
        <v>0.47</v>
      </c>
      <c r="L57" s="3">
        <f t="shared" si="1"/>
        <v>0</v>
      </c>
      <c r="M57" s="3">
        <v>0</v>
      </c>
      <c r="N57" s="3">
        <v>4.0999999999999996</v>
      </c>
      <c r="O57" s="3">
        <f t="shared" si="2"/>
        <v>4.0999999999999996</v>
      </c>
      <c r="P57" s="3">
        <f t="shared" si="3"/>
        <v>0</v>
      </c>
      <c r="Q57" s="3">
        <v>487464.91</v>
      </c>
      <c r="R57" s="3">
        <v>64562.26</v>
      </c>
    </row>
    <row r="58" spans="1:18" ht="14.45">
      <c r="A58" s="3" t="s">
        <v>70</v>
      </c>
      <c r="B58" s="4">
        <v>45658</v>
      </c>
      <c r="C58" s="3" t="s">
        <v>49</v>
      </c>
      <c r="D58" s="3" t="s">
        <v>55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f t="shared" si="0"/>
        <v>0.2</v>
      </c>
      <c r="L58" s="3">
        <f t="shared" si="1"/>
        <v>0</v>
      </c>
      <c r="M58" s="3">
        <v>0</v>
      </c>
      <c r="N58" s="3">
        <v>3.5</v>
      </c>
      <c r="O58" s="3">
        <f t="shared" si="2"/>
        <v>3.5</v>
      </c>
      <c r="P58" s="3">
        <f t="shared" si="3"/>
        <v>0</v>
      </c>
      <c r="Q58" s="3">
        <v>518049.26</v>
      </c>
      <c r="R58" s="3">
        <v>108592.49</v>
      </c>
    </row>
    <row r="59" spans="1:18" ht="14.45">
      <c r="A59" s="3" t="s">
        <v>70</v>
      </c>
      <c r="B59" s="4">
        <v>45689</v>
      </c>
      <c r="C59" s="3" t="s">
        <v>49</v>
      </c>
      <c r="D59" s="3" t="s">
        <v>55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f t="shared" si="0"/>
        <v>5.1100000000000003</v>
      </c>
      <c r="L59" s="3">
        <f t="shared" si="1"/>
        <v>0</v>
      </c>
      <c r="M59" s="3">
        <v>0</v>
      </c>
      <c r="N59" s="3">
        <v>3.7</v>
      </c>
      <c r="O59" s="3">
        <f t="shared" si="2"/>
        <v>3.7</v>
      </c>
      <c r="P59" s="3">
        <f t="shared" si="3"/>
        <v>0</v>
      </c>
      <c r="Q59" s="3">
        <v>500298.48</v>
      </c>
      <c r="R59" s="3">
        <v>73461.320000000007</v>
      </c>
    </row>
    <row r="60" spans="1:18" ht="14.45">
      <c r="A60" s="3" t="s">
        <v>70</v>
      </c>
      <c r="B60" s="4">
        <v>45717</v>
      </c>
      <c r="C60" s="3" t="s">
        <v>49</v>
      </c>
      <c r="D60" s="3" t="s">
        <v>55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f t="shared" si="0"/>
        <v>0.2</v>
      </c>
      <c r="L60" s="3">
        <f t="shared" si="1"/>
        <v>0</v>
      </c>
      <c r="M60" s="3">
        <v>0</v>
      </c>
      <c r="N60" s="3">
        <v>3.1</v>
      </c>
      <c r="O60" s="3">
        <f t="shared" si="2"/>
        <v>3.1</v>
      </c>
      <c r="P60" s="3">
        <f t="shared" si="3"/>
        <v>0</v>
      </c>
      <c r="Q60" s="3">
        <v>617291.15</v>
      </c>
      <c r="R60" s="3">
        <v>117782</v>
      </c>
    </row>
    <row r="61" spans="1:18" ht="14.45">
      <c r="A61" s="3" t="s">
        <v>70</v>
      </c>
      <c r="B61" s="4">
        <v>45748</v>
      </c>
      <c r="C61" s="3" t="s">
        <v>49</v>
      </c>
      <c r="D61" s="3" t="s">
        <v>55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f t="shared" si="0"/>
        <v>13.59</v>
      </c>
      <c r="L61" s="3">
        <f t="shared" si="1"/>
        <v>0</v>
      </c>
      <c r="M61" s="3">
        <v>0</v>
      </c>
      <c r="N61" s="3">
        <v>3.1</v>
      </c>
      <c r="O61" s="3">
        <f t="shared" si="2"/>
        <v>3.1</v>
      </c>
      <c r="P61" s="3">
        <f t="shared" si="3"/>
        <v>0</v>
      </c>
      <c r="Q61" s="3">
        <v>553756.43000000005</v>
      </c>
      <c r="R61" s="3">
        <v>86166.77</v>
      </c>
    </row>
    <row r="62" spans="1:18" ht="14.45">
      <c r="A62" s="3" t="s">
        <v>71</v>
      </c>
      <c r="B62" s="4">
        <v>45658</v>
      </c>
      <c r="C62" s="3" t="s">
        <v>58</v>
      </c>
      <c r="D62" s="3" t="s">
        <v>52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f t="shared" si="0"/>
        <v>1.02</v>
      </c>
      <c r="L62" s="3">
        <f t="shared" si="1"/>
        <v>0</v>
      </c>
      <c r="M62" s="3">
        <v>0</v>
      </c>
      <c r="N62" s="3">
        <v>3.7</v>
      </c>
      <c r="O62" s="3">
        <f t="shared" si="2"/>
        <v>3.7</v>
      </c>
      <c r="P62" s="3">
        <f t="shared" si="3"/>
        <v>0</v>
      </c>
      <c r="Q62" s="3">
        <v>749559.71</v>
      </c>
      <c r="R62" s="3">
        <v>144522.53</v>
      </c>
    </row>
    <row r="63" spans="1:18" ht="14.45">
      <c r="A63" s="3" t="s">
        <v>71</v>
      </c>
      <c r="B63" s="4">
        <v>45689</v>
      </c>
      <c r="C63" s="3" t="s">
        <v>58</v>
      </c>
      <c r="D63" s="3" t="s">
        <v>52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f t="shared" si="0"/>
        <v>1.64</v>
      </c>
      <c r="L63" s="3">
        <f t="shared" si="1"/>
        <v>0</v>
      </c>
      <c r="M63" s="3">
        <v>0</v>
      </c>
      <c r="N63" s="3">
        <v>3.8</v>
      </c>
      <c r="O63" s="3">
        <f t="shared" si="2"/>
        <v>3.8</v>
      </c>
      <c r="P63" s="3">
        <f t="shared" si="3"/>
        <v>0</v>
      </c>
      <c r="Q63" s="3">
        <v>615966.48</v>
      </c>
      <c r="R63" s="3">
        <v>91509.38</v>
      </c>
    </row>
    <row r="64" spans="1:18" ht="14.45">
      <c r="A64" s="3" t="s">
        <v>71</v>
      </c>
      <c r="B64" s="4">
        <v>45717</v>
      </c>
      <c r="C64" s="3" t="s">
        <v>58</v>
      </c>
      <c r="D64" s="3" t="s">
        <v>52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f t="shared" si="0"/>
        <v>5.15</v>
      </c>
      <c r="L64" s="3">
        <f t="shared" si="1"/>
        <v>0</v>
      </c>
      <c r="M64" s="3">
        <v>0</v>
      </c>
      <c r="N64" s="3">
        <v>3.3</v>
      </c>
      <c r="O64" s="3">
        <f t="shared" si="2"/>
        <v>3.3</v>
      </c>
      <c r="P64" s="3">
        <f t="shared" si="3"/>
        <v>0</v>
      </c>
      <c r="Q64" s="3">
        <v>572011.19999999995</v>
      </c>
      <c r="R64" s="3">
        <v>101409.68</v>
      </c>
    </row>
    <row r="65" spans="1:18" ht="14.45">
      <c r="A65" s="3" t="s">
        <v>71</v>
      </c>
      <c r="B65" s="4">
        <v>45748</v>
      </c>
      <c r="C65" s="3" t="s">
        <v>58</v>
      </c>
      <c r="D65" s="3" t="s">
        <v>52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f t="shared" si="0"/>
        <v>1.1100000000000001</v>
      </c>
      <c r="L65" s="3">
        <f t="shared" si="1"/>
        <v>0</v>
      </c>
      <c r="M65" s="3">
        <v>0</v>
      </c>
      <c r="N65" s="3">
        <v>3.5</v>
      </c>
      <c r="O65" s="3">
        <f t="shared" si="2"/>
        <v>3.5</v>
      </c>
      <c r="P65" s="3">
        <f t="shared" si="3"/>
        <v>0</v>
      </c>
      <c r="Q65" s="3">
        <v>761860.19</v>
      </c>
      <c r="R65" s="3">
        <v>133279.38</v>
      </c>
    </row>
    <row r="66" spans="1:18" ht="14.45">
      <c r="A66" s="3" t="s">
        <v>72</v>
      </c>
      <c r="B66" s="4">
        <v>45658</v>
      </c>
      <c r="C66" s="3" t="s">
        <v>61</v>
      </c>
      <c r="D66" s="3" t="s">
        <v>52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f t="shared" si="0"/>
        <v>6.08</v>
      </c>
      <c r="L66" s="3">
        <f t="shared" si="1"/>
        <v>0</v>
      </c>
      <c r="M66" s="3">
        <v>1</v>
      </c>
      <c r="N66" s="3">
        <v>3.4</v>
      </c>
      <c r="O66" s="3">
        <f t="shared" si="2"/>
        <v>3.4</v>
      </c>
      <c r="P66" s="3">
        <f t="shared" si="3"/>
        <v>0</v>
      </c>
      <c r="Q66" s="3">
        <v>784502.68</v>
      </c>
      <c r="R66" s="3">
        <v>129519.72</v>
      </c>
    </row>
    <row r="67" spans="1:18" ht="14.45">
      <c r="A67" s="3" t="s">
        <v>72</v>
      </c>
      <c r="B67" s="4">
        <v>45689</v>
      </c>
      <c r="C67" s="3" t="s">
        <v>61</v>
      </c>
      <c r="D67" s="3" t="s">
        <v>52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f t="shared" ref="K67:K130" si="4">IF(ISBLANK(J67),MEDIAN($J$2:$J$321),J67)</f>
        <v>10.91</v>
      </c>
      <c r="L67" s="3">
        <f t="shared" ref="L67:L130" si="5">IF(ISBLANK(J67),1,0)</f>
        <v>0</v>
      </c>
      <c r="M67" s="3">
        <v>0</v>
      </c>
      <c r="N67" s="3">
        <v>3.6</v>
      </c>
      <c r="O67" s="3">
        <f t="shared" ref="O67:O130" si="6">IF(ISBLANK(N67),MEDIAN($N$2:$N$321),N67)</f>
        <v>3.6</v>
      </c>
      <c r="P67" s="3">
        <f t="shared" ref="P67:P130" si="7">IF(ISBLANK(N67),1,0)</f>
        <v>0</v>
      </c>
      <c r="Q67" s="3">
        <v>717141.55</v>
      </c>
      <c r="R67" s="3">
        <v>134013.60999999999</v>
      </c>
    </row>
    <row r="68" spans="1:18" ht="14.45">
      <c r="A68" s="3" t="s">
        <v>72</v>
      </c>
      <c r="B68" s="4">
        <v>45717</v>
      </c>
      <c r="C68" s="3" t="s">
        <v>61</v>
      </c>
      <c r="D68" s="3" t="s">
        <v>52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f t="shared" si="4"/>
        <v>19.010000000000002</v>
      </c>
      <c r="L68" s="3">
        <f t="shared" si="5"/>
        <v>0</v>
      </c>
      <c r="M68" s="3">
        <v>1</v>
      </c>
      <c r="N68" s="3">
        <v>3.2</v>
      </c>
      <c r="O68" s="3">
        <f t="shared" si="6"/>
        <v>3.2</v>
      </c>
      <c r="P68" s="3">
        <f t="shared" si="7"/>
        <v>0</v>
      </c>
      <c r="Q68" s="3">
        <v>685379.08</v>
      </c>
      <c r="R68" s="3">
        <v>106898.82</v>
      </c>
    </row>
    <row r="69" spans="1:18" ht="14.45">
      <c r="A69" s="3" t="s">
        <v>72</v>
      </c>
      <c r="B69" s="4">
        <v>45748</v>
      </c>
      <c r="C69" s="3" t="s">
        <v>61</v>
      </c>
      <c r="D69" s="3" t="s">
        <v>52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f t="shared" si="4"/>
        <v>0.77</v>
      </c>
      <c r="L69" s="3">
        <f t="shared" si="5"/>
        <v>0</v>
      </c>
      <c r="M69" s="3">
        <v>0</v>
      </c>
      <c r="N69" s="3">
        <v>3.4</v>
      </c>
      <c r="O69" s="3">
        <f t="shared" si="6"/>
        <v>3.4</v>
      </c>
      <c r="P69" s="3">
        <f t="shared" si="7"/>
        <v>0</v>
      </c>
      <c r="Q69" s="3">
        <v>740496.65</v>
      </c>
      <c r="R69" s="3">
        <v>128020.9</v>
      </c>
    </row>
    <row r="70" spans="1:18" ht="14.45">
      <c r="A70" s="3" t="s">
        <v>73</v>
      </c>
      <c r="B70" s="4">
        <v>45658</v>
      </c>
      <c r="C70" s="3" t="s">
        <v>49</v>
      </c>
      <c r="D70" s="3" t="s">
        <v>52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f t="shared" si="4"/>
        <v>2.83</v>
      </c>
      <c r="L70" s="3">
        <f t="shared" si="5"/>
        <v>0</v>
      </c>
      <c r="M70" s="3">
        <v>1</v>
      </c>
      <c r="N70" s="3">
        <v>3.3</v>
      </c>
      <c r="O70" s="3">
        <f t="shared" si="6"/>
        <v>3.3</v>
      </c>
      <c r="P70" s="3">
        <f t="shared" si="7"/>
        <v>0</v>
      </c>
      <c r="Q70" s="3">
        <v>661927.14</v>
      </c>
      <c r="R70" s="3">
        <v>79218.570000000007</v>
      </c>
    </row>
    <row r="71" spans="1:18" ht="14.45">
      <c r="A71" s="3" t="s">
        <v>73</v>
      </c>
      <c r="B71" s="4">
        <v>45689</v>
      </c>
      <c r="C71" s="3" t="s">
        <v>49</v>
      </c>
      <c r="D71" s="3" t="s">
        <v>52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f t="shared" si="4"/>
        <v>2.33</v>
      </c>
      <c r="L71" s="3">
        <f t="shared" si="5"/>
        <v>0</v>
      </c>
      <c r="M71" s="3">
        <v>0</v>
      </c>
      <c r="N71" s="3">
        <v>3.3</v>
      </c>
      <c r="O71" s="3">
        <f t="shared" si="6"/>
        <v>3.3</v>
      </c>
      <c r="P71" s="3">
        <f t="shared" si="7"/>
        <v>0</v>
      </c>
      <c r="Q71" s="3">
        <v>479050.5</v>
      </c>
      <c r="R71" s="3">
        <v>53651.11</v>
      </c>
    </row>
    <row r="72" spans="1:18" ht="14.45">
      <c r="A72" s="3" t="s">
        <v>73</v>
      </c>
      <c r="B72" s="4">
        <v>45717</v>
      </c>
      <c r="C72" s="3" t="s">
        <v>49</v>
      </c>
      <c r="D72" s="3" t="s">
        <v>52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f t="shared" si="4"/>
        <v>1.43</v>
      </c>
      <c r="L72" s="3">
        <f t="shared" si="5"/>
        <v>0</v>
      </c>
      <c r="M72" s="3">
        <v>0</v>
      </c>
      <c r="N72" s="3">
        <v>3.2</v>
      </c>
      <c r="O72" s="3">
        <f t="shared" si="6"/>
        <v>3.2</v>
      </c>
      <c r="P72" s="3">
        <f t="shared" si="7"/>
        <v>0</v>
      </c>
      <c r="Q72" s="3">
        <v>605023.87</v>
      </c>
      <c r="R72" s="3">
        <v>98545.81</v>
      </c>
    </row>
    <row r="73" spans="1:18" ht="14.45">
      <c r="A73" s="3" t="s">
        <v>73</v>
      </c>
      <c r="B73" s="4">
        <v>45748</v>
      </c>
      <c r="C73" s="3" t="s">
        <v>49</v>
      </c>
      <c r="D73" s="3" t="s">
        <v>52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f t="shared" si="4"/>
        <v>3.3650000000000002</v>
      </c>
      <c r="L73" s="3">
        <f t="shared" si="5"/>
        <v>1</v>
      </c>
      <c r="M73" s="3">
        <v>0</v>
      </c>
      <c r="N73" s="3">
        <v>3.5</v>
      </c>
      <c r="O73" s="3">
        <f t="shared" si="6"/>
        <v>3.5</v>
      </c>
      <c r="P73" s="3">
        <f t="shared" si="7"/>
        <v>0</v>
      </c>
      <c r="Q73" s="3">
        <v>674774.09</v>
      </c>
      <c r="R73" s="3">
        <v>141917.59</v>
      </c>
    </row>
    <row r="74" spans="1:18" ht="14.45">
      <c r="A74" s="3" t="s">
        <v>74</v>
      </c>
      <c r="B74" s="4">
        <v>45658</v>
      </c>
      <c r="C74" s="3" t="s">
        <v>49</v>
      </c>
      <c r="D74" s="3" t="s">
        <v>50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f t="shared" si="4"/>
        <v>4.91</v>
      </c>
      <c r="L74" s="3">
        <f t="shared" si="5"/>
        <v>0</v>
      </c>
      <c r="M74" s="3">
        <v>0</v>
      </c>
      <c r="N74" s="3">
        <v>4.5</v>
      </c>
      <c r="O74" s="3">
        <f t="shared" si="6"/>
        <v>4.5</v>
      </c>
      <c r="P74" s="3">
        <f t="shared" si="7"/>
        <v>0</v>
      </c>
      <c r="Q74" s="3">
        <v>616069.41</v>
      </c>
      <c r="R74" s="3">
        <v>54453.99</v>
      </c>
    </row>
    <row r="75" spans="1:18" ht="14.45">
      <c r="A75" s="3" t="s">
        <v>74</v>
      </c>
      <c r="B75" s="4">
        <v>45689</v>
      </c>
      <c r="C75" s="3" t="s">
        <v>49</v>
      </c>
      <c r="D75" s="3" t="s">
        <v>50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f t="shared" si="4"/>
        <v>7.03</v>
      </c>
      <c r="L75" s="3">
        <f t="shared" si="5"/>
        <v>0</v>
      </c>
      <c r="M75" s="3">
        <v>0</v>
      </c>
      <c r="N75" s="3">
        <v>4.4000000000000004</v>
      </c>
      <c r="O75" s="3">
        <f t="shared" si="6"/>
        <v>4.4000000000000004</v>
      </c>
      <c r="P75" s="3">
        <f t="shared" si="7"/>
        <v>0</v>
      </c>
      <c r="Q75" s="3">
        <v>630829.93999999994</v>
      </c>
      <c r="R75" s="3">
        <v>117090.02</v>
      </c>
    </row>
    <row r="76" spans="1:18" ht="14.45">
      <c r="A76" s="3" t="s">
        <v>74</v>
      </c>
      <c r="B76" s="4">
        <v>45717</v>
      </c>
      <c r="C76" s="3" t="s">
        <v>49</v>
      </c>
      <c r="D76" s="3" t="s">
        <v>50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f t="shared" si="4"/>
        <v>0.28000000000000003</v>
      </c>
      <c r="L76" s="3">
        <f t="shared" si="5"/>
        <v>0</v>
      </c>
      <c r="M76" s="3">
        <v>1</v>
      </c>
      <c r="N76" s="3">
        <v>4.3</v>
      </c>
      <c r="O76" s="3">
        <f t="shared" si="6"/>
        <v>4.3</v>
      </c>
      <c r="P76" s="3">
        <f t="shared" si="7"/>
        <v>0</v>
      </c>
      <c r="Q76" s="3">
        <v>788087.68</v>
      </c>
      <c r="R76" s="3">
        <v>116803.42</v>
      </c>
    </row>
    <row r="77" spans="1:18" ht="14.45">
      <c r="A77" s="3" t="s">
        <v>74</v>
      </c>
      <c r="B77" s="4">
        <v>45748</v>
      </c>
      <c r="C77" s="3" t="s">
        <v>49</v>
      </c>
      <c r="D77" s="3" t="s">
        <v>50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f t="shared" si="4"/>
        <v>3.61</v>
      </c>
      <c r="L77" s="3">
        <f t="shared" si="5"/>
        <v>0</v>
      </c>
      <c r="M77" s="3">
        <v>0</v>
      </c>
      <c r="N77" s="3">
        <v>4.5</v>
      </c>
      <c r="O77" s="3">
        <f t="shared" si="6"/>
        <v>4.5</v>
      </c>
      <c r="P77" s="3">
        <f t="shared" si="7"/>
        <v>0</v>
      </c>
      <c r="Q77" s="3">
        <v>680840.36</v>
      </c>
      <c r="R77" s="3">
        <v>68007.679999999993</v>
      </c>
    </row>
    <row r="78" spans="1:18" ht="14.45">
      <c r="A78" s="3" t="s">
        <v>75</v>
      </c>
      <c r="B78" s="4">
        <v>45658</v>
      </c>
      <c r="C78" s="3" t="s">
        <v>58</v>
      </c>
      <c r="D78" s="3" t="s">
        <v>52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f t="shared" si="4"/>
        <v>7.52</v>
      </c>
      <c r="L78" s="3">
        <f t="shared" si="5"/>
        <v>0</v>
      </c>
      <c r="M78" s="3">
        <v>1</v>
      </c>
      <c r="N78" s="3">
        <v>3.2</v>
      </c>
      <c r="O78" s="3">
        <f t="shared" si="6"/>
        <v>3.2</v>
      </c>
      <c r="P78" s="3">
        <f t="shared" si="7"/>
        <v>0</v>
      </c>
      <c r="Q78" s="3">
        <v>643657.47</v>
      </c>
      <c r="R78" s="3">
        <v>87022.45</v>
      </c>
    </row>
    <row r="79" spans="1:18" ht="14.45">
      <c r="A79" s="3" t="s">
        <v>75</v>
      </c>
      <c r="B79" s="4">
        <v>45689</v>
      </c>
      <c r="C79" s="3" t="s">
        <v>58</v>
      </c>
      <c r="D79" s="3" t="s">
        <v>52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f t="shared" si="4"/>
        <v>2.58</v>
      </c>
      <c r="L79" s="3">
        <f t="shared" si="5"/>
        <v>0</v>
      </c>
      <c r="M79" s="3">
        <v>0</v>
      </c>
      <c r="N79" s="3">
        <v>2.9</v>
      </c>
      <c r="O79" s="3">
        <f t="shared" si="6"/>
        <v>2.9</v>
      </c>
      <c r="P79" s="3">
        <f t="shared" si="7"/>
        <v>0</v>
      </c>
      <c r="Q79" s="3">
        <v>691112.6</v>
      </c>
      <c r="R79" s="3">
        <v>109212.83</v>
      </c>
    </row>
    <row r="80" spans="1:18" ht="14.45">
      <c r="A80" s="3" t="s">
        <v>75</v>
      </c>
      <c r="B80" s="4">
        <v>45717</v>
      </c>
      <c r="C80" s="3" t="s">
        <v>58</v>
      </c>
      <c r="D80" s="3" t="s">
        <v>52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f t="shared" si="4"/>
        <v>2.29</v>
      </c>
      <c r="L80" s="3">
        <f t="shared" si="5"/>
        <v>0</v>
      </c>
      <c r="M80" s="3">
        <v>0</v>
      </c>
      <c r="N80" s="3">
        <v>3.3</v>
      </c>
      <c r="O80" s="3">
        <f t="shared" si="6"/>
        <v>3.3</v>
      </c>
      <c r="P80" s="3">
        <f t="shared" si="7"/>
        <v>0</v>
      </c>
      <c r="Q80" s="3">
        <v>776922.17</v>
      </c>
      <c r="R80" s="3">
        <v>150701.93</v>
      </c>
    </row>
    <row r="81" spans="1:18" ht="14.45">
      <c r="A81" s="3" t="s">
        <v>75</v>
      </c>
      <c r="B81" s="4">
        <v>45748</v>
      </c>
      <c r="C81" s="3" t="s">
        <v>58</v>
      </c>
      <c r="D81" s="3" t="s">
        <v>52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f t="shared" si="4"/>
        <v>2.39</v>
      </c>
      <c r="L81" s="3">
        <f t="shared" si="5"/>
        <v>0</v>
      </c>
      <c r="M81" s="3">
        <v>0</v>
      </c>
      <c r="N81" s="3">
        <v>3.2</v>
      </c>
      <c r="O81" s="3">
        <f t="shared" si="6"/>
        <v>3.2</v>
      </c>
      <c r="P81" s="3">
        <f t="shared" si="7"/>
        <v>0</v>
      </c>
      <c r="Q81" s="3">
        <v>636561.34</v>
      </c>
      <c r="R81" s="3">
        <v>93861.06</v>
      </c>
    </row>
    <row r="82" spans="1:18" ht="14.45">
      <c r="A82" s="3" t="s">
        <v>76</v>
      </c>
      <c r="B82" s="4">
        <v>45658</v>
      </c>
      <c r="C82" s="3" t="s">
        <v>61</v>
      </c>
      <c r="D82" s="3" t="s">
        <v>62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f t="shared" si="4"/>
        <v>5.24</v>
      </c>
      <c r="L82" s="3">
        <f t="shared" si="5"/>
        <v>0</v>
      </c>
      <c r="M82" s="3">
        <v>0</v>
      </c>
      <c r="N82" s="3">
        <v>4.5999999999999996</v>
      </c>
      <c r="O82" s="3">
        <f t="shared" si="6"/>
        <v>4.5999999999999996</v>
      </c>
      <c r="P82" s="3">
        <f t="shared" si="7"/>
        <v>0</v>
      </c>
      <c r="Q82" s="3">
        <v>621369.57999999996</v>
      </c>
      <c r="R82" s="3">
        <v>85493.64</v>
      </c>
    </row>
    <row r="83" spans="1:18" ht="14.45">
      <c r="A83" s="3" t="s">
        <v>76</v>
      </c>
      <c r="B83" s="4">
        <v>45689</v>
      </c>
      <c r="C83" s="3" t="s">
        <v>61</v>
      </c>
      <c r="D83" s="3" t="s">
        <v>62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f t="shared" si="4"/>
        <v>3.17</v>
      </c>
      <c r="L83" s="3">
        <f t="shared" si="5"/>
        <v>0</v>
      </c>
      <c r="M83" s="3">
        <v>0</v>
      </c>
      <c r="N83" s="3">
        <v>4.5999999999999996</v>
      </c>
      <c r="O83" s="3">
        <f t="shared" si="6"/>
        <v>4.5999999999999996</v>
      </c>
      <c r="P83" s="3">
        <f t="shared" si="7"/>
        <v>0</v>
      </c>
      <c r="Q83" s="3">
        <v>682208.01</v>
      </c>
      <c r="R83" s="3">
        <v>110318.84</v>
      </c>
    </row>
    <row r="84" spans="1:18" ht="14.45">
      <c r="A84" s="3" t="s">
        <v>76</v>
      </c>
      <c r="B84" s="4">
        <v>45717</v>
      </c>
      <c r="C84" s="3" t="s">
        <v>61</v>
      </c>
      <c r="D84" s="3" t="s">
        <v>62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f t="shared" si="4"/>
        <v>2.66</v>
      </c>
      <c r="L84" s="3">
        <f t="shared" si="5"/>
        <v>0</v>
      </c>
      <c r="M84" s="3">
        <v>0</v>
      </c>
      <c r="N84" s="3">
        <v>4.5999999999999996</v>
      </c>
      <c r="O84" s="3">
        <f t="shared" si="6"/>
        <v>4.5999999999999996</v>
      </c>
      <c r="P84" s="3">
        <f t="shared" si="7"/>
        <v>0</v>
      </c>
      <c r="Q84" s="3">
        <v>727241.86</v>
      </c>
      <c r="R84" s="3">
        <v>155810.29999999999</v>
      </c>
    </row>
    <row r="85" spans="1:18" ht="14.45">
      <c r="A85" s="3" t="s">
        <v>76</v>
      </c>
      <c r="B85" s="4">
        <v>45748</v>
      </c>
      <c r="C85" s="3" t="s">
        <v>61</v>
      </c>
      <c r="D85" s="3" t="s">
        <v>62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f t="shared" si="4"/>
        <v>1.41</v>
      </c>
      <c r="L85" s="3">
        <f t="shared" si="5"/>
        <v>0</v>
      </c>
      <c r="M85" s="3">
        <v>0</v>
      </c>
      <c r="N85" s="3">
        <v>4.2</v>
      </c>
      <c r="O85" s="3">
        <f t="shared" si="6"/>
        <v>4.2</v>
      </c>
      <c r="P85" s="3">
        <f t="shared" si="7"/>
        <v>0</v>
      </c>
      <c r="Q85" s="3">
        <v>569100.78</v>
      </c>
      <c r="R85" s="3">
        <v>104808.78</v>
      </c>
    </row>
    <row r="86" spans="1:18" ht="14.45">
      <c r="A86" s="3" t="s">
        <v>77</v>
      </c>
      <c r="B86" s="4">
        <v>45658</v>
      </c>
      <c r="C86" s="3" t="s">
        <v>61</v>
      </c>
      <c r="D86" s="3" t="s">
        <v>52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f t="shared" si="4"/>
        <v>7.34</v>
      </c>
      <c r="L86" s="3">
        <f t="shared" si="5"/>
        <v>0</v>
      </c>
      <c r="M86" s="3">
        <v>0</v>
      </c>
      <c r="N86" s="3">
        <v>4.9000000000000004</v>
      </c>
      <c r="O86" s="3">
        <f t="shared" si="6"/>
        <v>4.9000000000000004</v>
      </c>
      <c r="P86" s="3">
        <f t="shared" si="7"/>
        <v>0</v>
      </c>
      <c r="Q86" s="3">
        <v>574436.29</v>
      </c>
      <c r="R86" s="3">
        <v>80271.990000000005</v>
      </c>
    </row>
    <row r="87" spans="1:18" ht="14.45">
      <c r="A87" s="3" t="s">
        <v>77</v>
      </c>
      <c r="B87" s="4">
        <v>45689</v>
      </c>
      <c r="C87" s="3" t="s">
        <v>61</v>
      </c>
      <c r="D87" s="3" t="s">
        <v>52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f t="shared" si="4"/>
        <v>5.95</v>
      </c>
      <c r="L87" s="3">
        <f t="shared" si="5"/>
        <v>0</v>
      </c>
      <c r="M87" s="3">
        <v>0</v>
      </c>
      <c r="N87" s="3"/>
      <c r="O87" s="3">
        <f t="shared" si="6"/>
        <v>3.9</v>
      </c>
      <c r="P87" s="3">
        <f t="shared" si="7"/>
        <v>1</v>
      </c>
      <c r="Q87" s="3">
        <v>611766.72</v>
      </c>
      <c r="R87" s="3">
        <v>88275.61</v>
      </c>
    </row>
    <row r="88" spans="1:18" ht="14.45">
      <c r="A88" s="3" t="s">
        <v>77</v>
      </c>
      <c r="B88" s="4">
        <v>45717</v>
      </c>
      <c r="C88" s="3" t="s">
        <v>61</v>
      </c>
      <c r="D88" s="3" t="s">
        <v>52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f t="shared" si="4"/>
        <v>15.51</v>
      </c>
      <c r="L88" s="3">
        <f t="shared" si="5"/>
        <v>0</v>
      </c>
      <c r="M88" s="3">
        <v>0</v>
      </c>
      <c r="N88" s="3">
        <v>4.3</v>
      </c>
      <c r="O88" s="3">
        <f t="shared" si="6"/>
        <v>4.3</v>
      </c>
      <c r="P88" s="3">
        <f t="shared" si="7"/>
        <v>0</v>
      </c>
      <c r="Q88" s="3">
        <v>614596.31999999995</v>
      </c>
      <c r="R88" s="3">
        <v>131199.41</v>
      </c>
    </row>
    <row r="89" spans="1:18" ht="14.45">
      <c r="A89" s="3" t="s">
        <v>77</v>
      </c>
      <c r="B89" s="4">
        <v>45748</v>
      </c>
      <c r="C89" s="3" t="s">
        <v>61</v>
      </c>
      <c r="D89" s="3" t="s">
        <v>52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f t="shared" si="4"/>
        <v>4.3099999999999996</v>
      </c>
      <c r="L89" s="3">
        <f t="shared" si="5"/>
        <v>0</v>
      </c>
      <c r="M89" s="3">
        <v>0</v>
      </c>
      <c r="N89" s="3">
        <v>4.5999999999999996</v>
      </c>
      <c r="O89" s="3">
        <f t="shared" si="6"/>
        <v>4.5999999999999996</v>
      </c>
      <c r="P89" s="3">
        <f t="shared" si="7"/>
        <v>0</v>
      </c>
      <c r="Q89" s="3">
        <v>450711.92</v>
      </c>
      <c r="R89" s="3">
        <v>90043.76</v>
      </c>
    </row>
    <row r="90" spans="1:18" ht="14.45">
      <c r="A90" s="3" t="s">
        <v>78</v>
      </c>
      <c r="B90" s="4">
        <v>45658</v>
      </c>
      <c r="C90" s="3" t="s">
        <v>58</v>
      </c>
      <c r="D90" s="3" t="s">
        <v>62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f t="shared" si="4"/>
        <v>6.61</v>
      </c>
      <c r="L90" s="3">
        <f t="shared" si="5"/>
        <v>0</v>
      </c>
      <c r="M90" s="3">
        <v>1</v>
      </c>
      <c r="N90" s="3">
        <v>4.0999999999999996</v>
      </c>
      <c r="O90" s="3">
        <f t="shared" si="6"/>
        <v>4.0999999999999996</v>
      </c>
      <c r="P90" s="3">
        <f t="shared" si="7"/>
        <v>0</v>
      </c>
      <c r="Q90" s="3">
        <v>711213.46</v>
      </c>
      <c r="R90" s="3">
        <v>105863.26</v>
      </c>
    </row>
    <row r="91" spans="1:18" ht="14.45">
      <c r="A91" s="3" t="s">
        <v>78</v>
      </c>
      <c r="B91" s="4">
        <v>45689</v>
      </c>
      <c r="C91" s="3" t="s">
        <v>58</v>
      </c>
      <c r="D91" s="3" t="s">
        <v>62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f t="shared" si="4"/>
        <v>4.26</v>
      </c>
      <c r="L91" s="3">
        <f t="shared" si="5"/>
        <v>0</v>
      </c>
      <c r="M91" s="3">
        <v>0</v>
      </c>
      <c r="N91" s="3">
        <v>4.5</v>
      </c>
      <c r="O91" s="3">
        <f t="shared" si="6"/>
        <v>4.5</v>
      </c>
      <c r="P91" s="3">
        <f t="shared" si="7"/>
        <v>0</v>
      </c>
      <c r="Q91" s="3">
        <v>627171.9</v>
      </c>
      <c r="R91" s="3">
        <v>105772.75</v>
      </c>
    </row>
    <row r="92" spans="1:18" ht="14.45">
      <c r="A92" s="3" t="s">
        <v>78</v>
      </c>
      <c r="B92" s="4">
        <v>45717</v>
      </c>
      <c r="C92" s="3" t="s">
        <v>58</v>
      </c>
      <c r="D92" s="3" t="s">
        <v>62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f t="shared" si="4"/>
        <v>5.75</v>
      </c>
      <c r="L92" s="3">
        <f t="shared" si="5"/>
        <v>0</v>
      </c>
      <c r="M92" s="3">
        <v>0</v>
      </c>
      <c r="N92" s="3">
        <v>4.7</v>
      </c>
      <c r="O92" s="3">
        <f t="shared" si="6"/>
        <v>4.7</v>
      </c>
      <c r="P92" s="3">
        <f t="shared" si="7"/>
        <v>0</v>
      </c>
      <c r="Q92" s="3">
        <v>739852.58</v>
      </c>
      <c r="R92" s="3">
        <v>129386.43</v>
      </c>
    </row>
    <row r="93" spans="1:18" ht="14.45">
      <c r="A93" s="3" t="s">
        <v>78</v>
      </c>
      <c r="B93" s="4">
        <v>45748</v>
      </c>
      <c r="C93" s="3" t="s">
        <v>58</v>
      </c>
      <c r="D93" s="3" t="s">
        <v>62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f t="shared" si="4"/>
        <v>0.33</v>
      </c>
      <c r="L93" s="3">
        <f t="shared" si="5"/>
        <v>0</v>
      </c>
      <c r="M93" s="3">
        <v>0</v>
      </c>
      <c r="N93" s="3">
        <v>4.3</v>
      </c>
      <c r="O93" s="3">
        <f t="shared" si="6"/>
        <v>4.3</v>
      </c>
      <c r="P93" s="3">
        <f t="shared" si="7"/>
        <v>0</v>
      </c>
      <c r="Q93" s="3">
        <v>586307.22</v>
      </c>
      <c r="R93" s="3">
        <v>73927.850000000006</v>
      </c>
    </row>
    <row r="94" spans="1:18" ht="14.45">
      <c r="A94" s="3" t="s">
        <v>79</v>
      </c>
      <c r="B94" s="4">
        <v>45658</v>
      </c>
      <c r="C94" s="3" t="s">
        <v>61</v>
      </c>
      <c r="D94" s="3" t="s">
        <v>50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f t="shared" si="4"/>
        <v>2.92</v>
      </c>
      <c r="L94" s="3">
        <f t="shared" si="5"/>
        <v>0</v>
      </c>
      <c r="M94" s="3">
        <v>0</v>
      </c>
      <c r="N94" s="3">
        <v>4.5999999999999996</v>
      </c>
      <c r="O94" s="3">
        <f t="shared" si="6"/>
        <v>4.5999999999999996</v>
      </c>
      <c r="P94" s="3">
        <f t="shared" si="7"/>
        <v>0</v>
      </c>
      <c r="Q94" s="3">
        <v>585937.48</v>
      </c>
      <c r="R94" s="3">
        <v>82624.2</v>
      </c>
    </row>
    <row r="95" spans="1:18" ht="14.45">
      <c r="A95" s="3" t="s">
        <v>79</v>
      </c>
      <c r="B95" s="4">
        <v>45689</v>
      </c>
      <c r="C95" s="3" t="s">
        <v>61</v>
      </c>
      <c r="D95" s="3" t="s">
        <v>50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f t="shared" si="4"/>
        <v>1.64</v>
      </c>
      <c r="L95" s="3">
        <f t="shared" si="5"/>
        <v>0</v>
      </c>
      <c r="M95" s="3">
        <v>0</v>
      </c>
      <c r="N95" s="3">
        <v>4.5</v>
      </c>
      <c r="O95" s="3">
        <f t="shared" si="6"/>
        <v>4.5</v>
      </c>
      <c r="P95" s="3">
        <f t="shared" si="7"/>
        <v>0</v>
      </c>
      <c r="Q95" s="3">
        <v>753473.55</v>
      </c>
      <c r="R95" s="3">
        <v>151527.22</v>
      </c>
    </row>
    <row r="96" spans="1:18" ht="14.45">
      <c r="A96" s="3" t="s">
        <v>79</v>
      </c>
      <c r="B96" s="4">
        <v>45717</v>
      </c>
      <c r="C96" s="3" t="s">
        <v>61</v>
      </c>
      <c r="D96" s="3" t="s">
        <v>50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f t="shared" si="4"/>
        <v>0.8</v>
      </c>
      <c r="L96" s="3">
        <f t="shared" si="5"/>
        <v>0</v>
      </c>
      <c r="M96" s="3">
        <v>0</v>
      </c>
      <c r="N96" s="3">
        <v>5</v>
      </c>
      <c r="O96" s="3">
        <f t="shared" si="6"/>
        <v>5</v>
      </c>
      <c r="P96" s="3">
        <f t="shared" si="7"/>
        <v>0</v>
      </c>
      <c r="Q96" s="3">
        <v>838250.32</v>
      </c>
      <c r="R96" s="3">
        <v>122939.34</v>
      </c>
    </row>
    <row r="97" spans="1:18" ht="14.45">
      <c r="A97" s="3" t="s">
        <v>79</v>
      </c>
      <c r="B97" s="4">
        <v>45748</v>
      </c>
      <c r="C97" s="3" t="s">
        <v>61</v>
      </c>
      <c r="D97" s="3" t="s">
        <v>50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f t="shared" si="4"/>
        <v>5.79</v>
      </c>
      <c r="L97" s="3">
        <f t="shared" si="5"/>
        <v>0</v>
      </c>
      <c r="M97" s="3">
        <v>0</v>
      </c>
      <c r="N97" s="3">
        <v>4.5</v>
      </c>
      <c r="O97" s="3">
        <f t="shared" si="6"/>
        <v>4.5</v>
      </c>
      <c r="P97" s="3">
        <f t="shared" si="7"/>
        <v>0</v>
      </c>
      <c r="Q97" s="3">
        <v>607898.12</v>
      </c>
      <c r="R97" s="3">
        <v>135404.85</v>
      </c>
    </row>
    <row r="98" spans="1:18" ht="14.45">
      <c r="A98" s="3" t="s">
        <v>80</v>
      </c>
      <c r="B98" s="4">
        <v>45658</v>
      </c>
      <c r="C98" s="3" t="s">
        <v>61</v>
      </c>
      <c r="D98" s="3" t="s">
        <v>62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f t="shared" si="4"/>
        <v>19.600000000000001</v>
      </c>
      <c r="L98" s="3">
        <f t="shared" si="5"/>
        <v>0</v>
      </c>
      <c r="M98" s="3">
        <v>0</v>
      </c>
      <c r="N98" s="3">
        <v>4.4000000000000004</v>
      </c>
      <c r="O98" s="3">
        <f t="shared" si="6"/>
        <v>4.4000000000000004</v>
      </c>
      <c r="P98" s="3">
        <f t="shared" si="7"/>
        <v>0</v>
      </c>
      <c r="Q98" s="3">
        <v>691113.62</v>
      </c>
      <c r="R98" s="3">
        <v>135145.44</v>
      </c>
    </row>
    <row r="99" spans="1:18" ht="14.45">
      <c r="A99" s="3" t="s">
        <v>80</v>
      </c>
      <c r="B99" s="4">
        <v>45689</v>
      </c>
      <c r="C99" s="3" t="s">
        <v>61</v>
      </c>
      <c r="D99" s="3" t="s">
        <v>62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f t="shared" si="4"/>
        <v>7.57</v>
      </c>
      <c r="L99" s="3">
        <f t="shared" si="5"/>
        <v>0</v>
      </c>
      <c r="M99" s="3">
        <v>0</v>
      </c>
      <c r="N99" s="3">
        <v>4.3</v>
      </c>
      <c r="O99" s="3">
        <f t="shared" si="6"/>
        <v>4.3</v>
      </c>
      <c r="P99" s="3">
        <f t="shared" si="7"/>
        <v>0</v>
      </c>
      <c r="Q99" s="3">
        <v>735509.4</v>
      </c>
      <c r="R99" s="3">
        <v>83895.96</v>
      </c>
    </row>
    <row r="100" spans="1:18" ht="14.45">
      <c r="A100" s="3" t="s">
        <v>80</v>
      </c>
      <c r="B100" s="4">
        <v>45717</v>
      </c>
      <c r="C100" s="3" t="s">
        <v>61</v>
      </c>
      <c r="D100" s="3" t="s">
        <v>62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f t="shared" si="4"/>
        <v>3.3650000000000002</v>
      </c>
      <c r="L100" s="3">
        <f t="shared" si="5"/>
        <v>1</v>
      </c>
      <c r="M100" s="3">
        <v>0</v>
      </c>
      <c r="N100" s="3">
        <v>4.3</v>
      </c>
      <c r="O100" s="3">
        <f t="shared" si="6"/>
        <v>4.3</v>
      </c>
      <c r="P100" s="3">
        <f t="shared" si="7"/>
        <v>0</v>
      </c>
      <c r="Q100" s="3">
        <v>605775.32999999996</v>
      </c>
      <c r="R100" s="3">
        <v>107194.6</v>
      </c>
    </row>
    <row r="101" spans="1:18" ht="14.45">
      <c r="A101" s="3" t="s">
        <v>80</v>
      </c>
      <c r="B101" s="4">
        <v>45748</v>
      </c>
      <c r="C101" s="3" t="s">
        <v>61</v>
      </c>
      <c r="D101" s="3" t="s">
        <v>62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f t="shared" si="4"/>
        <v>2.7</v>
      </c>
      <c r="L101" s="3">
        <f t="shared" si="5"/>
        <v>0</v>
      </c>
      <c r="M101" s="3">
        <v>0</v>
      </c>
      <c r="N101" s="3">
        <v>4.4000000000000004</v>
      </c>
      <c r="O101" s="3">
        <f t="shared" si="6"/>
        <v>4.4000000000000004</v>
      </c>
      <c r="P101" s="3">
        <f t="shared" si="7"/>
        <v>0</v>
      </c>
      <c r="Q101" s="3">
        <v>675177.68</v>
      </c>
      <c r="R101" s="3">
        <v>105628.68</v>
      </c>
    </row>
    <row r="102" spans="1:18" ht="14.45">
      <c r="A102" s="3" t="s">
        <v>81</v>
      </c>
      <c r="B102" s="4">
        <v>45658</v>
      </c>
      <c r="C102" s="3" t="s">
        <v>49</v>
      </c>
      <c r="D102" s="3" t="s">
        <v>62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f t="shared" si="4"/>
        <v>0.2</v>
      </c>
      <c r="L102" s="3">
        <f t="shared" si="5"/>
        <v>0</v>
      </c>
      <c r="M102" s="3">
        <v>0</v>
      </c>
      <c r="N102" s="3">
        <v>4.4000000000000004</v>
      </c>
      <c r="O102" s="3">
        <f t="shared" si="6"/>
        <v>4.4000000000000004</v>
      </c>
      <c r="P102" s="3">
        <f t="shared" si="7"/>
        <v>0</v>
      </c>
      <c r="Q102" s="3">
        <v>635181.35</v>
      </c>
      <c r="R102" s="3">
        <v>83341.25</v>
      </c>
    </row>
    <row r="103" spans="1:18" ht="14.45">
      <c r="A103" s="3" t="s">
        <v>81</v>
      </c>
      <c r="B103" s="4">
        <v>45689</v>
      </c>
      <c r="C103" s="3" t="s">
        <v>49</v>
      </c>
      <c r="D103" s="3" t="s">
        <v>62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f t="shared" si="4"/>
        <v>7.87</v>
      </c>
      <c r="L103" s="3">
        <f t="shared" si="5"/>
        <v>0</v>
      </c>
      <c r="M103" s="3">
        <v>0</v>
      </c>
      <c r="N103" s="3">
        <v>4.7</v>
      </c>
      <c r="O103" s="3">
        <f t="shared" si="6"/>
        <v>4.7</v>
      </c>
      <c r="P103" s="3">
        <f t="shared" si="7"/>
        <v>0</v>
      </c>
      <c r="Q103" s="3">
        <v>586626.93999999994</v>
      </c>
      <c r="R103" s="3">
        <v>86498.55</v>
      </c>
    </row>
    <row r="104" spans="1:18" ht="14.45">
      <c r="A104" s="3" t="s">
        <v>81</v>
      </c>
      <c r="B104" s="4">
        <v>45717</v>
      </c>
      <c r="C104" s="3" t="s">
        <v>49</v>
      </c>
      <c r="D104" s="3" t="s">
        <v>62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f t="shared" si="4"/>
        <v>0.77</v>
      </c>
      <c r="L104" s="3">
        <f t="shared" si="5"/>
        <v>0</v>
      </c>
      <c r="M104" s="3">
        <v>1</v>
      </c>
      <c r="N104" s="3">
        <v>4.4000000000000004</v>
      </c>
      <c r="O104" s="3">
        <f t="shared" si="6"/>
        <v>4.4000000000000004</v>
      </c>
      <c r="P104" s="3">
        <f t="shared" si="7"/>
        <v>0</v>
      </c>
      <c r="Q104" s="3">
        <v>740102.64</v>
      </c>
      <c r="R104" s="3">
        <v>114299.07</v>
      </c>
    </row>
    <row r="105" spans="1:18" ht="14.45">
      <c r="A105" s="3" t="s">
        <v>81</v>
      </c>
      <c r="B105" s="4">
        <v>45748</v>
      </c>
      <c r="C105" s="3" t="s">
        <v>49</v>
      </c>
      <c r="D105" s="3" t="s">
        <v>62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f t="shared" si="4"/>
        <v>1.48</v>
      </c>
      <c r="L105" s="3">
        <f t="shared" si="5"/>
        <v>0</v>
      </c>
      <c r="M105" s="3">
        <v>0</v>
      </c>
      <c r="N105" s="3">
        <v>5</v>
      </c>
      <c r="O105" s="3">
        <f t="shared" si="6"/>
        <v>5</v>
      </c>
      <c r="P105" s="3">
        <f t="shared" si="7"/>
        <v>0</v>
      </c>
      <c r="Q105" s="3">
        <v>625514.04</v>
      </c>
      <c r="R105" s="3">
        <v>120685.08</v>
      </c>
    </row>
    <row r="106" spans="1:18" ht="14.45">
      <c r="A106" s="3" t="s">
        <v>82</v>
      </c>
      <c r="B106" s="4">
        <v>45658</v>
      </c>
      <c r="C106" s="3" t="s">
        <v>61</v>
      </c>
      <c r="D106" s="3" t="s">
        <v>52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f t="shared" si="4"/>
        <v>2.87</v>
      </c>
      <c r="L106" s="3">
        <f t="shared" si="5"/>
        <v>0</v>
      </c>
      <c r="M106" s="3">
        <v>0</v>
      </c>
      <c r="N106" s="3">
        <v>2.9</v>
      </c>
      <c r="O106" s="3">
        <f t="shared" si="6"/>
        <v>2.9</v>
      </c>
      <c r="P106" s="3">
        <f t="shared" si="7"/>
        <v>0</v>
      </c>
      <c r="Q106" s="3">
        <v>727227.2</v>
      </c>
      <c r="R106" s="3">
        <v>121292.01</v>
      </c>
    </row>
    <row r="107" spans="1:18" ht="14.45">
      <c r="A107" s="3" t="s">
        <v>82</v>
      </c>
      <c r="B107" s="4">
        <v>45689</v>
      </c>
      <c r="C107" s="3" t="s">
        <v>61</v>
      </c>
      <c r="D107" s="3" t="s">
        <v>52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f t="shared" si="4"/>
        <v>2.83</v>
      </c>
      <c r="L107" s="3">
        <f t="shared" si="5"/>
        <v>0</v>
      </c>
      <c r="M107" s="3">
        <v>0</v>
      </c>
      <c r="N107" s="3">
        <v>3</v>
      </c>
      <c r="O107" s="3">
        <f t="shared" si="6"/>
        <v>3</v>
      </c>
      <c r="P107" s="3">
        <f t="shared" si="7"/>
        <v>0</v>
      </c>
      <c r="Q107" s="3">
        <v>783797.89</v>
      </c>
      <c r="R107" s="3">
        <v>157620.70000000001</v>
      </c>
    </row>
    <row r="108" spans="1:18" ht="14.45">
      <c r="A108" s="3" t="s">
        <v>82</v>
      </c>
      <c r="B108" s="4">
        <v>45717</v>
      </c>
      <c r="C108" s="3" t="s">
        <v>61</v>
      </c>
      <c r="D108" s="3" t="s">
        <v>52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f t="shared" si="4"/>
        <v>0.25</v>
      </c>
      <c r="L108" s="3">
        <f t="shared" si="5"/>
        <v>0</v>
      </c>
      <c r="M108" s="3">
        <v>0</v>
      </c>
      <c r="N108" s="3">
        <v>3</v>
      </c>
      <c r="O108" s="3">
        <f t="shared" si="6"/>
        <v>3</v>
      </c>
      <c r="P108" s="3">
        <f t="shared" si="7"/>
        <v>0</v>
      </c>
      <c r="Q108" s="3">
        <v>795153.84</v>
      </c>
      <c r="R108" s="3">
        <v>143194.21</v>
      </c>
    </row>
    <row r="109" spans="1:18" ht="14.45">
      <c r="A109" s="3" t="s">
        <v>82</v>
      </c>
      <c r="B109" s="4">
        <v>45748</v>
      </c>
      <c r="C109" s="3" t="s">
        <v>61</v>
      </c>
      <c r="D109" s="3" t="s">
        <v>52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f t="shared" si="4"/>
        <v>13.33</v>
      </c>
      <c r="L109" s="3">
        <f t="shared" si="5"/>
        <v>0</v>
      </c>
      <c r="M109" s="3">
        <v>0</v>
      </c>
      <c r="N109" s="3">
        <v>3.2</v>
      </c>
      <c r="O109" s="3">
        <f t="shared" si="6"/>
        <v>3.2</v>
      </c>
      <c r="P109" s="3">
        <f t="shared" si="7"/>
        <v>0</v>
      </c>
      <c r="Q109" s="3">
        <v>665594.93999999994</v>
      </c>
      <c r="R109" s="3">
        <v>127597.34</v>
      </c>
    </row>
    <row r="110" spans="1:18" ht="14.45">
      <c r="A110" s="3" t="s">
        <v>83</v>
      </c>
      <c r="B110" s="4">
        <v>45658</v>
      </c>
      <c r="C110" s="3" t="s">
        <v>49</v>
      </c>
      <c r="D110" s="3" t="s">
        <v>62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f t="shared" si="4"/>
        <v>6.35</v>
      </c>
      <c r="L110" s="3">
        <f t="shared" si="5"/>
        <v>0</v>
      </c>
      <c r="M110" s="3">
        <v>1</v>
      </c>
      <c r="N110" s="3">
        <v>3.8</v>
      </c>
      <c r="O110" s="3">
        <f t="shared" si="6"/>
        <v>3.8</v>
      </c>
      <c r="P110" s="3">
        <f t="shared" si="7"/>
        <v>0</v>
      </c>
      <c r="Q110" s="3">
        <v>709478.39</v>
      </c>
      <c r="R110" s="3">
        <v>71294.27</v>
      </c>
    </row>
    <row r="111" spans="1:18" ht="14.45">
      <c r="A111" s="3" t="s">
        <v>83</v>
      </c>
      <c r="B111" s="4">
        <v>45689</v>
      </c>
      <c r="C111" s="3" t="s">
        <v>49</v>
      </c>
      <c r="D111" s="3" t="s">
        <v>62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f t="shared" si="4"/>
        <v>6.69</v>
      </c>
      <c r="L111" s="3">
        <f t="shared" si="5"/>
        <v>0</v>
      </c>
      <c r="M111" s="3">
        <v>0</v>
      </c>
      <c r="N111" s="3">
        <v>3.8</v>
      </c>
      <c r="O111" s="3">
        <f t="shared" si="6"/>
        <v>3.8</v>
      </c>
      <c r="P111" s="3">
        <f t="shared" si="7"/>
        <v>0</v>
      </c>
      <c r="Q111" s="3">
        <v>664162.49</v>
      </c>
      <c r="R111" s="3">
        <v>98291.06</v>
      </c>
    </row>
    <row r="112" spans="1:18" ht="14.45">
      <c r="A112" s="3" t="s">
        <v>83</v>
      </c>
      <c r="B112" s="4">
        <v>45717</v>
      </c>
      <c r="C112" s="3" t="s">
        <v>49</v>
      </c>
      <c r="D112" s="3" t="s">
        <v>62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f t="shared" si="4"/>
        <v>1.28</v>
      </c>
      <c r="L112" s="3">
        <f t="shared" si="5"/>
        <v>0</v>
      </c>
      <c r="M112" s="3">
        <v>0</v>
      </c>
      <c r="N112" s="3">
        <v>4.2</v>
      </c>
      <c r="O112" s="3">
        <f t="shared" si="6"/>
        <v>4.2</v>
      </c>
      <c r="P112" s="3">
        <f t="shared" si="7"/>
        <v>0</v>
      </c>
      <c r="Q112" s="3">
        <v>633494.21</v>
      </c>
      <c r="R112" s="3">
        <v>105739.47</v>
      </c>
    </row>
    <row r="113" spans="1:18" ht="14.45">
      <c r="A113" s="3" t="s">
        <v>83</v>
      </c>
      <c r="B113" s="4">
        <v>45748</v>
      </c>
      <c r="C113" s="3" t="s">
        <v>49</v>
      </c>
      <c r="D113" s="3" t="s">
        <v>62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f t="shared" si="4"/>
        <v>0.92</v>
      </c>
      <c r="L113" s="3">
        <f t="shared" si="5"/>
        <v>0</v>
      </c>
      <c r="M113" s="3">
        <v>0</v>
      </c>
      <c r="N113" s="3">
        <v>3.5</v>
      </c>
      <c r="O113" s="3">
        <f t="shared" si="6"/>
        <v>3.5</v>
      </c>
      <c r="P113" s="3">
        <f t="shared" si="7"/>
        <v>0</v>
      </c>
      <c r="Q113" s="3">
        <v>713611.16</v>
      </c>
      <c r="R113" s="3">
        <v>129717.18</v>
      </c>
    </row>
    <row r="114" spans="1:18" ht="14.45">
      <c r="A114" s="3" t="s">
        <v>84</v>
      </c>
      <c r="B114" s="4">
        <v>45658</v>
      </c>
      <c r="C114" s="3" t="s">
        <v>61</v>
      </c>
      <c r="D114" s="3" t="s">
        <v>62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f t="shared" si="4"/>
        <v>1.05</v>
      </c>
      <c r="L114" s="3">
        <f t="shared" si="5"/>
        <v>0</v>
      </c>
      <c r="M114" s="3">
        <v>0</v>
      </c>
      <c r="N114" s="3">
        <v>3.1</v>
      </c>
      <c r="O114" s="3">
        <f t="shared" si="6"/>
        <v>3.1</v>
      </c>
      <c r="P114" s="3">
        <f t="shared" si="7"/>
        <v>0</v>
      </c>
      <c r="Q114" s="3">
        <v>778397.97</v>
      </c>
      <c r="R114" s="3">
        <v>120044.41</v>
      </c>
    </row>
    <row r="115" spans="1:18" ht="14.45">
      <c r="A115" s="3" t="s">
        <v>84</v>
      </c>
      <c r="B115" s="4">
        <v>45689</v>
      </c>
      <c r="C115" s="3" t="s">
        <v>61</v>
      </c>
      <c r="D115" s="3" t="s">
        <v>62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f t="shared" si="4"/>
        <v>2.67</v>
      </c>
      <c r="L115" s="3">
        <f t="shared" si="5"/>
        <v>0</v>
      </c>
      <c r="M115" s="3">
        <v>0</v>
      </c>
      <c r="N115" s="3">
        <v>3.5</v>
      </c>
      <c r="O115" s="3">
        <f t="shared" si="6"/>
        <v>3.5</v>
      </c>
      <c r="P115" s="3">
        <f t="shared" si="7"/>
        <v>0</v>
      </c>
      <c r="Q115" s="3">
        <v>873380.02</v>
      </c>
      <c r="R115" s="3">
        <v>149734.76</v>
      </c>
    </row>
    <row r="116" spans="1:18" ht="14.45">
      <c r="A116" s="3" t="s">
        <v>84</v>
      </c>
      <c r="B116" s="4">
        <v>45717</v>
      </c>
      <c r="C116" s="3" t="s">
        <v>61</v>
      </c>
      <c r="D116" s="3" t="s">
        <v>62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f t="shared" si="4"/>
        <v>5.91</v>
      </c>
      <c r="L116" s="3">
        <f t="shared" si="5"/>
        <v>0</v>
      </c>
      <c r="M116" s="3">
        <v>0</v>
      </c>
      <c r="N116" s="3">
        <v>2.8</v>
      </c>
      <c r="O116" s="3">
        <f t="shared" si="6"/>
        <v>2.8</v>
      </c>
      <c r="P116" s="3">
        <f t="shared" si="7"/>
        <v>0</v>
      </c>
      <c r="Q116" s="3">
        <v>697287.9</v>
      </c>
      <c r="R116" s="3">
        <v>128208.33</v>
      </c>
    </row>
    <row r="117" spans="1:18" ht="14.45">
      <c r="A117" s="3" t="s">
        <v>84</v>
      </c>
      <c r="B117" s="4">
        <v>45748</v>
      </c>
      <c r="C117" s="3" t="s">
        <v>61</v>
      </c>
      <c r="D117" s="3" t="s">
        <v>62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f t="shared" si="4"/>
        <v>6.37</v>
      </c>
      <c r="L117" s="3">
        <f t="shared" si="5"/>
        <v>0</v>
      </c>
      <c r="M117" s="3">
        <v>0</v>
      </c>
      <c r="N117" s="3">
        <v>3.3</v>
      </c>
      <c r="O117" s="3">
        <f t="shared" si="6"/>
        <v>3.3</v>
      </c>
      <c r="P117" s="3">
        <f t="shared" si="7"/>
        <v>0</v>
      </c>
      <c r="Q117" s="3">
        <v>718074.79</v>
      </c>
      <c r="R117" s="3">
        <v>115819.87</v>
      </c>
    </row>
    <row r="118" spans="1:18" ht="14.45">
      <c r="A118" s="3" t="s">
        <v>85</v>
      </c>
      <c r="B118" s="4">
        <v>45658</v>
      </c>
      <c r="C118" s="3" t="s">
        <v>61</v>
      </c>
      <c r="D118" s="3" t="s">
        <v>50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f t="shared" si="4"/>
        <v>2.4900000000000002</v>
      </c>
      <c r="L118" s="3">
        <f t="shared" si="5"/>
        <v>0</v>
      </c>
      <c r="M118" s="3">
        <v>1</v>
      </c>
      <c r="N118" s="3">
        <v>4.7</v>
      </c>
      <c r="O118" s="3">
        <f t="shared" si="6"/>
        <v>4.7</v>
      </c>
      <c r="P118" s="3">
        <f t="shared" si="7"/>
        <v>0</v>
      </c>
      <c r="Q118" s="3">
        <v>714942.43</v>
      </c>
      <c r="R118" s="3">
        <v>94697.71</v>
      </c>
    </row>
    <row r="119" spans="1:18" ht="14.45">
      <c r="A119" s="3" t="s">
        <v>85</v>
      </c>
      <c r="B119" s="4">
        <v>45689</v>
      </c>
      <c r="C119" s="3" t="s">
        <v>61</v>
      </c>
      <c r="D119" s="3" t="s">
        <v>50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f t="shared" si="4"/>
        <v>1.56</v>
      </c>
      <c r="L119" s="3">
        <f t="shared" si="5"/>
        <v>0</v>
      </c>
      <c r="M119" s="3">
        <v>0</v>
      </c>
      <c r="N119" s="3">
        <v>4.7</v>
      </c>
      <c r="O119" s="3">
        <f t="shared" si="6"/>
        <v>4.7</v>
      </c>
      <c r="P119" s="3">
        <f t="shared" si="7"/>
        <v>0</v>
      </c>
      <c r="Q119" s="3">
        <v>820519.04</v>
      </c>
      <c r="R119" s="3">
        <v>99035.88</v>
      </c>
    </row>
    <row r="120" spans="1:18" ht="14.45">
      <c r="A120" s="3" t="s">
        <v>85</v>
      </c>
      <c r="B120" s="4">
        <v>45717</v>
      </c>
      <c r="C120" s="3" t="s">
        <v>61</v>
      </c>
      <c r="D120" s="3" t="s">
        <v>50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f t="shared" si="4"/>
        <v>14.95</v>
      </c>
      <c r="L120" s="3">
        <f t="shared" si="5"/>
        <v>0</v>
      </c>
      <c r="M120" s="3">
        <v>0</v>
      </c>
      <c r="N120" s="3">
        <v>4.5999999999999996</v>
      </c>
      <c r="O120" s="3">
        <f t="shared" si="6"/>
        <v>4.5999999999999996</v>
      </c>
      <c r="P120" s="3">
        <f t="shared" si="7"/>
        <v>0</v>
      </c>
      <c r="Q120" s="3">
        <v>684217.32</v>
      </c>
      <c r="R120" s="3">
        <v>136217.19</v>
      </c>
    </row>
    <row r="121" spans="1:18" ht="14.45">
      <c r="A121" s="3" t="s">
        <v>85</v>
      </c>
      <c r="B121" s="4">
        <v>45748</v>
      </c>
      <c r="C121" s="3" t="s">
        <v>61</v>
      </c>
      <c r="D121" s="3" t="s">
        <v>50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f t="shared" si="4"/>
        <v>7.85</v>
      </c>
      <c r="L121" s="3">
        <f t="shared" si="5"/>
        <v>0</v>
      </c>
      <c r="M121" s="3">
        <v>0</v>
      </c>
      <c r="N121" s="3">
        <v>4.7</v>
      </c>
      <c r="O121" s="3">
        <f t="shared" si="6"/>
        <v>4.7</v>
      </c>
      <c r="P121" s="3">
        <f t="shared" si="7"/>
        <v>0</v>
      </c>
      <c r="Q121" s="3">
        <v>735480.19</v>
      </c>
      <c r="R121" s="3">
        <v>88342.11</v>
      </c>
    </row>
    <row r="122" spans="1:18" ht="14.45">
      <c r="A122" s="3" t="s">
        <v>86</v>
      </c>
      <c r="B122" s="4">
        <v>45658</v>
      </c>
      <c r="C122" s="3" t="s">
        <v>54</v>
      </c>
      <c r="D122" s="3" t="s">
        <v>52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f t="shared" si="4"/>
        <v>6.8</v>
      </c>
      <c r="L122" s="3">
        <f t="shared" si="5"/>
        <v>0</v>
      </c>
      <c r="M122" s="3">
        <v>0</v>
      </c>
      <c r="N122" s="3">
        <v>4.4000000000000004</v>
      </c>
      <c r="O122" s="3">
        <f t="shared" si="6"/>
        <v>4.4000000000000004</v>
      </c>
      <c r="P122" s="3">
        <f t="shared" si="7"/>
        <v>0</v>
      </c>
      <c r="Q122" s="3">
        <v>509484.81</v>
      </c>
      <c r="R122" s="3">
        <v>85742.36</v>
      </c>
    </row>
    <row r="123" spans="1:18" ht="14.45">
      <c r="A123" s="3" t="s">
        <v>86</v>
      </c>
      <c r="B123" s="4">
        <v>45689</v>
      </c>
      <c r="C123" s="3" t="s">
        <v>54</v>
      </c>
      <c r="D123" s="3" t="s">
        <v>52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f t="shared" si="4"/>
        <v>2.2000000000000002</v>
      </c>
      <c r="L123" s="3">
        <f t="shared" si="5"/>
        <v>0</v>
      </c>
      <c r="M123" s="3">
        <v>0</v>
      </c>
      <c r="N123" s="3">
        <v>3.7</v>
      </c>
      <c r="O123" s="3">
        <f t="shared" si="6"/>
        <v>3.7</v>
      </c>
      <c r="P123" s="3">
        <f t="shared" si="7"/>
        <v>0</v>
      </c>
      <c r="Q123" s="3">
        <v>654317.09</v>
      </c>
      <c r="R123" s="3">
        <v>121446.89</v>
      </c>
    </row>
    <row r="124" spans="1:18" ht="14.45">
      <c r="A124" s="3" t="s">
        <v>86</v>
      </c>
      <c r="B124" s="4">
        <v>45717</v>
      </c>
      <c r="C124" s="3" t="s">
        <v>54</v>
      </c>
      <c r="D124" s="3" t="s">
        <v>52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f t="shared" si="4"/>
        <v>1.88</v>
      </c>
      <c r="L124" s="3">
        <f t="shared" si="5"/>
        <v>0</v>
      </c>
      <c r="M124" s="3">
        <v>0</v>
      </c>
      <c r="N124" s="3">
        <v>3.9</v>
      </c>
      <c r="O124" s="3">
        <f t="shared" si="6"/>
        <v>3.9</v>
      </c>
      <c r="P124" s="3">
        <f t="shared" si="7"/>
        <v>0</v>
      </c>
      <c r="Q124" s="3">
        <v>557487.26</v>
      </c>
      <c r="R124" s="3">
        <v>76432.19</v>
      </c>
    </row>
    <row r="125" spans="1:18" ht="14.45">
      <c r="A125" s="3" t="s">
        <v>86</v>
      </c>
      <c r="B125" s="4">
        <v>45748</v>
      </c>
      <c r="C125" s="3" t="s">
        <v>54</v>
      </c>
      <c r="D125" s="3" t="s">
        <v>52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f t="shared" si="4"/>
        <v>15.79</v>
      </c>
      <c r="L125" s="3">
        <f t="shared" si="5"/>
        <v>0</v>
      </c>
      <c r="M125" s="3">
        <v>0</v>
      </c>
      <c r="N125" s="3">
        <v>4.4000000000000004</v>
      </c>
      <c r="O125" s="3">
        <f t="shared" si="6"/>
        <v>4.4000000000000004</v>
      </c>
      <c r="P125" s="3">
        <f t="shared" si="7"/>
        <v>0</v>
      </c>
      <c r="Q125" s="3">
        <v>441275.42</v>
      </c>
      <c r="R125" s="3">
        <v>58234.87</v>
      </c>
    </row>
    <row r="126" spans="1:18" ht="14.45">
      <c r="A126" s="3" t="s">
        <v>87</v>
      </c>
      <c r="B126" s="4">
        <v>45658</v>
      </c>
      <c r="C126" s="3" t="s">
        <v>58</v>
      </c>
      <c r="D126" s="3" t="s">
        <v>52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f t="shared" si="4"/>
        <v>2.34</v>
      </c>
      <c r="L126" s="3">
        <f t="shared" si="5"/>
        <v>0</v>
      </c>
      <c r="M126" s="3">
        <v>1</v>
      </c>
      <c r="N126" s="3">
        <v>4.8</v>
      </c>
      <c r="O126" s="3">
        <f t="shared" si="6"/>
        <v>4.8</v>
      </c>
      <c r="P126" s="3">
        <f t="shared" si="7"/>
        <v>0</v>
      </c>
      <c r="Q126" s="3">
        <v>914544.17</v>
      </c>
      <c r="R126" s="3">
        <v>79831.73</v>
      </c>
    </row>
    <row r="127" spans="1:18" ht="14.45">
      <c r="A127" s="3" t="s">
        <v>87</v>
      </c>
      <c r="B127" s="4">
        <v>45689</v>
      </c>
      <c r="C127" s="3" t="s">
        <v>58</v>
      </c>
      <c r="D127" s="3" t="s">
        <v>52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f t="shared" si="4"/>
        <v>0.54</v>
      </c>
      <c r="L127" s="3">
        <f t="shared" si="5"/>
        <v>0</v>
      </c>
      <c r="M127" s="3">
        <v>0</v>
      </c>
      <c r="N127" s="3">
        <v>4.4000000000000004</v>
      </c>
      <c r="O127" s="3">
        <f t="shared" si="6"/>
        <v>4.4000000000000004</v>
      </c>
      <c r="P127" s="3">
        <f t="shared" si="7"/>
        <v>0</v>
      </c>
      <c r="Q127" s="3">
        <v>842439.67</v>
      </c>
      <c r="R127" s="3">
        <v>169983.63</v>
      </c>
    </row>
    <row r="128" spans="1:18" ht="14.45">
      <c r="A128" s="3" t="s">
        <v>87</v>
      </c>
      <c r="B128" s="4">
        <v>45717</v>
      </c>
      <c r="C128" s="3" t="s">
        <v>58</v>
      </c>
      <c r="D128" s="3" t="s">
        <v>52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f t="shared" si="4"/>
        <v>5.37</v>
      </c>
      <c r="L128" s="3">
        <f t="shared" si="5"/>
        <v>0</v>
      </c>
      <c r="M128" s="3">
        <v>1</v>
      </c>
      <c r="N128" s="3">
        <v>4.9000000000000004</v>
      </c>
      <c r="O128" s="3">
        <f t="shared" si="6"/>
        <v>4.9000000000000004</v>
      </c>
      <c r="P128" s="3">
        <f t="shared" si="7"/>
        <v>0</v>
      </c>
      <c r="Q128" s="3">
        <v>842157.92</v>
      </c>
      <c r="R128" s="3">
        <v>107348.22</v>
      </c>
    </row>
    <row r="129" spans="1:18" ht="14.45">
      <c r="A129" s="3" t="s">
        <v>87</v>
      </c>
      <c r="B129" s="4">
        <v>45748</v>
      </c>
      <c r="C129" s="3" t="s">
        <v>58</v>
      </c>
      <c r="D129" s="3" t="s">
        <v>52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f t="shared" si="4"/>
        <v>3.19</v>
      </c>
      <c r="L129" s="3">
        <f t="shared" si="5"/>
        <v>0</v>
      </c>
      <c r="M129" s="3">
        <v>0</v>
      </c>
      <c r="N129" s="3">
        <v>4.8</v>
      </c>
      <c r="O129" s="3">
        <f t="shared" si="6"/>
        <v>4.8</v>
      </c>
      <c r="P129" s="3">
        <f t="shared" si="7"/>
        <v>0</v>
      </c>
      <c r="Q129" s="3">
        <v>697155.3</v>
      </c>
      <c r="R129" s="3">
        <v>136408.54</v>
      </c>
    </row>
    <row r="130" spans="1:18" ht="14.45">
      <c r="A130" s="3" t="s">
        <v>88</v>
      </c>
      <c r="B130" s="4">
        <v>45658</v>
      </c>
      <c r="C130" s="3" t="s">
        <v>49</v>
      </c>
      <c r="D130" s="3" t="s">
        <v>52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f t="shared" si="4"/>
        <v>1.1000000000000001</v>
      </c>
      <c r="L130" s="3">
        <f t="shared" si="5"/>
        <v>0</v>
      </c>
      <c r="M130" s="3">
        <v>1</v>
      </c>
      <c r="N130" s="3">
        <v>4.4000000000000004</v>
      </c>
      <c r="O130" s="3">
        <f t="shared" si="6"/>
        <v>4.4000000000000004</v>
      </c>
      <c r="P130" s="3">
        <f t="shared" si="7"/>
        <v>0</v>
      </c>
      <c r="Q130" s="3">
        <v>849018.3</v>
      </c>
      <c r="R130" s="3">
        <v>149035.13</v>
      </c>
    </row>
    <row r="131" spans="1:18" ht="14.45">
      <c r="A131" s="3" t="s">
        <v>88</v>
      </c>
      <c r="B131" s="4">
        <v>45689</v>
      </c>
      <c r="C131" s="3" t="s">
        <v>49</v>
      </c>
      <c r="D131" s="3" t="s">
        <v>52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f t="shared" ref="K131:K194" si="8">IF(ISBLANK(J131),MEDIAN($J$2:$J$321),J131)</f>
        <v>0.21</v>
      </c>
      <c r="L131" s="3">
        <f t="shared" ref="L131:L194" si="9">IF(ISBLANK(J131),1,0)</f>
        <v>0</v>
      </c>
      <c r="M131" s="3">
        <v>0</v>
      </c>
      <c r="N131" s="3">
        <v>4</v>
      </c>
      <c r="O131" s="3">
        <f t="shared" ref="O131:O194" si="10">IF(ISBLANK(N131),MEDIAN($N$2:$N$321),N131)</f>
        <v>4</v>
      </c>
      <c r="P131" s="3">
        <f t="shared" ref="P131:P194" si="11">IF(ISBLANK(N131),1,0)</f>
        <v>0</v>
      </c>
      <c r="Q131" s="3">
        <v>801830.35</v>
      </c>
      <c r="R131" s="3">
        <v>114875.32</v>
      </c>
    </row>
    <row r="132" spans="1:18" ht="14.45">
      <c r="A132" s="3" t="s">
        <v>88</v>
      </c>
      <c r="B132" s="4">
        <v>45717</v>
      </c>
      <c r="C132" s="3" t="s">
        <v>49</v>
      </c>
      <c r="D132" s="3" t="s">
        <v>52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f t="shared" si="8"/>
        <v>5.12</v>
      </c>
      <c r="L132" s="3">
        <f t="shared" si="9"/>
        <v>0</v>
      </c>
      <c r="M132" s="3">
        <v>1</v>
      </c>
      <c r="N132" s="3">
        <v>4.5</v>
      </c>
      <c r="O132" s="3">
        <f t="shared" si="10"/>
        <v>4.5</v>
      </c>
      <c r="P132" s="3">
        <f t="shared" si="11"/>
        <v>0</v>
      </c>
      <c r="Q132" s="3">
        <v>725235.28</v>
      </c>
      <c r="R132" s="3">
        <v>121632.24</v>
      </c>
    </row>
    <row r="133" spans="1:18" ht="14.45">
      <c r="A133" s="3" t="s">
        <v>88</v>
      </c>
      <c r="B133" s="4">
        <v>45748</v>
      </c>
      <c r="C133" s="3" t="s">
        <v>49</v>
      </c>
      <c r="D133" s="3" t="s">
        <v>52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f t="shared" si="8"/>
        <v>9.77</v>
      </c>
      <c r="L133" s="3">
        <f t="shared" si="9"/>
        <v>0</v>
      </c>
      <c r="M133" s="3">
        <v>0</v>
      </c>
      <c r="N133" s="3">
        <v>4.5</v>
      </c>
      <c r="O133" s="3">
        <f t="shared" si="10"/>
        <v>4.5</v>
      </c>
      <c r="P133" s="3">
        <f t="shared" si="11"/>
        <v>0</v>
      </c>
      <c r="Q133" s="3">
        <v>811452.72</v>
      </c>
      <c r="R133" s="3">
        <v>131325.67000000001</v>
      </c>
    </row>
    <row r="134" spans="1:18" ht="14.45">
      <c r="A134" s="3" t="s">
        <v>89</v>
      </c>
      <c r="B134" s="4">
        <v>45658</v>
      </c>
      <c r="C134" s="3" t="s">
        <v>54</v>
      </c>
      <c r="D134" s="3" t="s">
        <v>52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f t="shared" si="8"/>
        <v>3.77</v>
      </c>
      <c r="L134" s="3">
        <f t="shared" si="9"/>
        <v>0</v>
      </c>
      <c r="M134" s="3">
        <v>0</v>
      </c>
      <c r="N134" s="3">
        <v>4.4000000000000004</v>
      </c>
      <c r="O134" s="3">
        <f t="shared" si="10"/>
        <v>4.4000000000000004</v>
      </c>
      <c r="P134" s="3">
        <f t="shared" si="11"/>
        <v>0</v>
      </c>
      <c r="Q134" s="3">
        <v>527300.13</v>
      </c>
      <c r="R134" s="3">
        <v>84197.87</v>
      </c>
    </row>
    <row r="135" spans="1:18" ht="14.45">
      <c r="A135" s="3" t="s">
        <v>89</v>
      </c>
      <c r="B135" s="4">
        <v>45689</v>
      </c>
      <c r="C135" s="3" t="s">
        <v>54</v>
      </c>
      <c r="D135" s="3" t="s">
        <v>52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f t="shared" si="8"/>
        <v>0.78</v>
      </c>
      <c r="L135" s="3">
        <f t="shared" si="9"/>
        <v>0</v>
      </c>
      <c r="M135" s="3">
        <v>0</v>
      </c>
      <c r="N135" s="3"/>
      <c r="O135" s="3">
        <f t="shared" si="10"/>
        <v>3.9</v>
      </c>
      <c r="P135" s="3">
        <f t="shared" si="11"/>
        <v>1</v>
      </c>
      <c r="Q135" s="3">
        <v>400831.65</v>
      </c>
      <c r="R135" s="3">
        <v>70979.31</v>
      </c>
    </row>
    <row r="136" spans="1:18" ht="14.45">
      <c r="A136" s="3" t="s">
        <v>89</v>
      </c>
      <c r="B136" s="4">
        <v>45717</v>
      </c>
      <c r="C136" s="3" t="s">
        <v>54</v>
      </c>
      <c r="D136" s="3" t="s">
        <v>52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f t="shared" si="8"/>
        <v>5.17</v>
      </c>
      <c r="L136" s="3">
        <f t="shared" si="9"/>
        <v>0</v>
      </c>
      <c r="M136" s="3">
        <v>1</v>
      </c>
      <c r="N136" s="3">
        <v>4.4000000000000004</v>
      </c>
      <c r="O136" s="3">
        <f t="shared" si="10"/>
        <v>4.4000000000000004</v>
      </c>
      <c r="P136" s="3">
        <f t="shared" si="11"/>
        <v>0</v>
      </c>
      <c r="Q136" s="3">
        <v>593247.25</v>
      </c>
      <c r="R136" s="3">
        <v>81240.289999999994</v>
      </c>
    </row>
    <row r="137" spans="1:18" ht="14.45">
      <c r="A137" s="3" t="s">
        <v>89</v>
      </c>
      <c r="B137" s="4">
        <v>45748</v>
      </c>
      <c r="C137" s="3" t="s">
        <v>54</v>
      </c>
      <c r="D137" s="3" t="s">
        <v>52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f t="shared" si="8"/>
        <v>3.2</v>
      </c>
      <c r="L137" s="3">
        <f t="shared" si="9"/>
        <v>0</v>
      </c>
      <c r="M137" s="3">
        <v>0</v>
      </c>
      <c r="N137" s="3">
        <v>4.5999999999999996</v>
      </c>
      <c r="O137" s="3">
        <f t="shared" si="10"/>
        <v>4.5999999999999996</v>
      </c>
      <c r="P137" s="3">
        <f t="shared" si="11"/>
        <v>0</v>
      </c>
      <c r="Q137" s="3">
        <v>529075.94999999995</v>
      </c>
      <c r="R137" s="3">
        <v>95978.83</v>
      </c>
    </row>
    <row r="138" spans="1:18" ht="14.45">
      <c r="A138" s="3" t="s">
        <v>90</v>
      </c>
      <c r="B138" s="4">
        <v>45658</v>
      </c>
      <c r="C138" s="3" t="s">
        <v>58</v>
      </c>
      <c r="D138" s="3" t="s">
        <v>50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f t="shared" si="8"/>
        <v>3.4</v>
      </c>
      <c r="L138" s="3">
        <f t="shared" si="9"/>
        <v>0</v>
      </c>
      <c r="M138" s="3">
        <v>0</v>
      </c>
      <c r="N138" s="3"/>
      <c r="O138" s="3">
        <f t="shared" si="10"/>
        <v>3.9</v>
      </c>
      <c r="P138" s="3">
        <f t="shared" si="11"/>
        <v>1</v>
      </c>
      <c r="Q138" s="3">
        <v>633638.03</v>
      </c>
      <c r="R138" s="3">
        <v>99402.01</v>
      </c>
    </row>
    <row r="139" spans="1:18" ht="14.45">
      <c r="A139" s="3" t="s">
        <v>90</v>
      </c>
      <c r="B139" s="4">
        <v>45689</v>
      </c>
      <c r="C139" s="3" t="s">
        <v>58</v>
      </c>
      <c r="D139" s="3" t="s">
        <v>50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f t="shared" si="8"/>
        <v>7.38</v>
      </c>
      <c r="L139" s="3">
        <f t="shared" si="9"/>
        <v>0</v>
      </c>
      <c r="M139" s="3">
        <v>0</v>
      </c>
      <c r="N139" s="3">
        <v>3.7</v>
      </c>
      <c r="O139" s="3">
        <f t="shared" si="10"/>
        <v>3.7</v>
      </c>
      <c r="P139" s="3">
        <f t="shared" si="11"/>
        <v>0</v>
      </c>
      <c r="Q139" s="3">
        <v>743348.84</v>
      </c>
      <c r="R139" s="3">
        <v>104186.09</v>
      </c>
    </row>
    <row r="140" spans="1:18" ht="14.45">
      <c r="A140" s="3" t="s">
        <v>90</v>
      </c>
      <c r="B140" s="4">
        <v>45717</v>
      </c>
      <c r="C140" s="3" t="s">
        <v>58</v>
      </c>
      <c r="D140" s="3" t="s">
        <v>50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f t="shared" si="8"/>
        <v>0.85</v>
      </c>
      <c r="L140" s="3">
        <f t="shared" si="9"/>
        <v>0</v>
      </c>
      <c r="M140" s="3">
        <v>1</v>
      </c>
      <c r="N140" s="3">
        <v>3.3</v>
      </c>
      <c r="O140" s="3">
        <f t="shared" si="10"/>
        <v>3.3</v>
      </c>
      <c r="P140" s="3">
        <f t="shared" si="11"/>
        <v>0</v>
      </c>
      <c r="Q140" s="3">
        <v>758827.64</v>
      </c>
      <c r="R140" s="3">
        <v>161439.48000000001</v>
      </c>
    </row>
    <row r="141" spans="1:18" ht="14.45">
      <c r="A141" s="3" t="s">
        <v>90</v>
      </c>
      <c r="B141" s="4">
        <v>45748</v>
      </c>
      <c r="C141" s="3" t="s">
        <v>58</v>
      </c>
      <c r="D141" s="3" t="s">
        <v>50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f t="shared" si="8"/>
        <v>2.89</v>
      </c>
      <c r="L141" s="3">
        <f t="shared" si="9"/>
        <v>0</v>
      </c>
      <c r="M141" s="3">
        <v>0</v>
      </c>
      <c r="N141" s="3">
        <v>3.6</v>
      </c>
      <c r="O141" s="3">
        <f t="shared" si="10"/>
        <v>3.6</v>
      </c>
      <c r="P141" s="3">
        <f t="shared" si="11"/>
        <v>0</v>
      </c>
      <c r="Q141" s="3">
        <v>646559.71</v>
      </c>
      <c r="R141" s="3">
        <v>97981.75</v>
      </c>
    </row>
    <row r="142" spans="1:18" ht="14.45">
      <c r="A142" s="3" t="s">
        <v>91</v>
      </c>
      <c r="B142" s="4">
        <v>45658</v>
      </c>
      <c r="C142" s="3" t="s">
        <v>61</v>
      </c>
      <c r="D142" s="3" t="s">
        <v>52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f t="shared" si="8"/>
        <v>0.77</v>
      </c>
      <c r="L142" s="3">
        <f t="shared" si="9"/>
        <v>0</v>
      </c>
      <c r="M142" s="3">
        <v>0</v>
      </c>
      <c r="N142" s="3">
        <v>4.0999999999999996</v>
      </c>
      <c r="O142" s="3">
        <f t="shared" si="10"/>
        <v>4.0999999999999996</v>
      </c>
      <c r="P142" s="3">
        <f t="shared" si="11"/>
        <v>0</v>
      </c>
      <c r="Q142" s="3">
        <v>715890.53</v>
      </c>
      <c r="R142" s="3">
        <v>109032.15</v>
      </c>
    </row>
    <row r="143" spans="1:18" ht="14.45">
      <c r="A143" s="3" t="s">
        <v>91</v>
      </c>
      <c r="B143" s="4">
        <v>45689</v>
      </c>
      <c r="C143" s="3" t="s">
        <v>61</v>
      </c>
      <c r="D143" s="3" t="s">
        <v>52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f t="shared" si="8"/>
        <v>2.92</v>
      </c>
      <c r="L143" s="3">
        <f t="shared" si="9"/>
        <v>0</v>
      </c>
      <c r="M143" s="3">
        <v>0</v>
      </c>
      <c r="N143" s="3">
        <v>4.2</v>
      </c>
      <c r="O143" s="3">
        <f t="shared" si="10"/>
        <v>4.2</v>
      </c>
      <c r="P143" s="3">
        <f t="shared" si="11"/>
        <v>0</v>
      </c>
      <c r="Q143" s="3">
        <v>715097.57</v>
      </c>
      <c r="R143" s="3">
        <v>151875.85999999999</v>
      </c>
    </row>
    <row r="144" spans="1:18" ht="14.45">
      <c r="A144" s="3" t="s">
        <v>91</v>
      </c>
      <c r="B144" s="4">
        <v>45717</v>
      </c>
      <c r="C144" s="3" t="s">
        <v>61</v>
      </c>
      <c r="D144" s="3" t="s">
        <v>52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f t="shared" si="8"/>
        <v>3.07</v>
      </c>
      <c r="L144" s="3">
        <f t="shared" si="9"/>
        <v>0</v>
      </c>
      <c r="M144" s="3">
        <v>0</v>
      </c>
      <c r="N144" s="3">
        <v>3.8</v>
      </c>
      <c r="O144" s="3">
        <f t="shared" si="10"/>
        <v>3.8</v>
      </c>
      <c r="P144" s="3">
        <f t="shared" si="11"/>
        <v>0</v>
      </c>
      <c r="Q144" s="3">
        <v>682639.28</v>
      </c>
      <c r="R144" s="3">
        <v>77557.53</v>
      </c>
    </row>
    <row r="145" spans="1:18" ht="14.45">
      <c r="A145" s="3" t="s">
        <v>91</v>
      </c>
      <c r="B145" s="4">
        <v>45748</v>
      </c>
      <c r="C145" s="3" t="s">
        <v>61</v>
      </c>
      <c r="D145" s="3" t="s">
        <v>52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f t="shared" si="8"/>
        <v>9.6999999999999993</v>
      </c>
      <c r="L145" s="3">
        <f t="shared" si="9"/>
        <v>0</v>
      </c>
      <c r="M145" s="3">
        <v>0</v>
      </c>
      <c r="N145" s="3">
        <v>3.9</v>
      </c>
      <c r="O145" s="3">
        <f t="shared" si="10"/>
        <v>3.9</v>
      </c>
      <c r="P145" s="3">
        <f t="shared" si="11"/>
        <v>0</v>
      </c>
      <c r="Q145" s="3">
        <v>695098.51</v>
      </c>
      <c r="R145" s="3">
        <v>108192.75</v>
      </c>
    </row>
    <row r="146" spans="1:18" ht="14.45">
      <c r="A146" s="3" t="s">
        <v>92</v>
      </c>
      <c r="B146" s="4">
        <v>45658</v>
      </c>
      <c r="C146" s="3" t="s">
        <v>54</v>
      </c>
      <c r="D146" s="3" t="s">
        <v>50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f t="shared" si="8"/>
        <v>3.71</v>
      </c>
      <c r="L146" s="3">
        <f t="shared" si="9"/>
        <v>0</v>
      </c>
      <c r="M146" s="3">
        <v>0</v>
      </c>
      <c r="N146" s="3">
        <v>3.2</v>
      </c>
      <c r="O146" s="3">
        <f t="shared" si="10"/>
        <v>3.2</v>
      </c>
      <c r="P146" s="3">
        <f t="shared" si="11"/>
        <v>0</v>
      </c>
      <c r="Q146" s="3">
        <v>577732.56999999995</v>
      </c>
      <c r="R146" s="3">
        <v>93804.27</v>
      </c>
    </row>
    <row r="147" spans="1:18" ht="14.45">
      <c r="A147" s="3" t="s">
        <v>92</v>
      </c>
      <c r="B147" s="4">
        <v>45689</v>
      </c>
      <c r="C147" s="3" t="s">
        <v>54</v>
      </c>
      <c r="D147" s="3" t="s">
        <v>50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f t="shared" si="8"/>
        <v>10.79</v>
      </c>
      <c r="L147" s="3">
        <f t="shared" si="9"/>
        <v>0</v>
      </c>
      <c r="M147" s="3">
        <v>0</v>
      </c>
      <c r="N147" s="3">
        <v>3.5</v>
      </c>
      <c r="O147" s="3">
        <f t="shared" si="10"/>
        <v>3.5</v>
      </c>
      <c r="P147" s="3">
        <f t="shared" si="11"/>
        <v>0</v>
      </c>
      <c r="Q147" s="3">
        <v>537058.32999999996</v>
      </c>
      <c r="R147" s="3">
        <v>93555.71</v>
      </c>
    </row>
    <row r="148" spans="1:18" ht="14.45">
      <c r="A148" s="3" t="s">
        <v>92</v>
      </c>
      <c r="B148" s="4">
        <v>45717</v>
      </c>
      <c r="C148" s="3" t="s">
        <v>54</v>
      </c>
      <c r="D148" s="3" t="s">
        <v>50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f t="shared" si="8"/>
        <v>6.03</v>
      </c>
      <c r="L148" s="3">
        <f t="shared" si="9"/>
        <v>0</v>
      </c>
      <c r="M148" s="3">
        <v>0</v>
      </c>
      <c r="N148" s="3">
        <v>3.4</v>
      </c>
      <c r="O148" s="3">
        <f t="shared" si="10"/>
        <v>3.4</v>
      </c>
      <c r="P148" s="3">
        <f t="shared" si="11"/>
        <v>0</v>
      </c>
      <c r="Q148" s="3">
        <v>601568.87</v>
      </c>
      <c r="R148" s="3">
        <v>91634.82</v>
      </c>
    </row>
    <row r="149" spans="1:18" ht="14.45">
      <c r="A149" s="3" t="s">
        <v>92</v>
      </c>
      <c r="B149" s="4">
        <v>45748</v>
      </c>
      <c r="C149" s="3" t="s">
        <v>54</v>
      </c>
      <c r="D149" s="3" t="s">
        <v>50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f t="shared" si="8"/>
        <v>4.92</v>
      </c>
      <c r="L149" s="3">
        <f t="shared" si="9"/>
        <v>0</v>
      </c>
      <c r="M149" s="3">
        <v>0</v>
      </c>
      <c r="N149" s="3">
        <v>3.4</v>
      </c>
      <c r="O149" s="3">
        <f t="shared" si="10"/>
        <v>3.4</v>
      </c>
      <c r="P149" s="3">
        <f t="shared" si="11"/>
        <v>0</v>
      </c>
      <c r="Q149" s="3">
        <v>570964.84</v>
      </c>
      <c r="R149" s="3">
        <v>81331.070000000007</v>
      </c>
    </row>
    <row r="150" spans="1:18" ht="14.45">
      <c r="A150" s="3" t="s">
        <v>93</v>
      </c>
      <c r="B150" s="4">
        <v>45658</v>
      </c>
      <c r="C150" s="3" t="s">
        <v>58</v>
      </c>
      <c r="D150" s="3" t="s">
        <v>62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f t="shared" si="8"/>
        <v>19.78</v>
      </c>
      <c r="L150" s="3">
        <f t="shared" si="9"/>
        <v>0</v>
      </c>
      <c r="M150" s="3">
        <v>0</v>
      </c>
      <c r="N150" s="3">
        <v>3.8</v>
      </c>
      <c r="O150" s="3">
        <f t="shared" si="10"/>
        <v>3.8</v>
      </c>
      <c r="P150" s="3">
        <f t="shared" si="11"/>
        <v>0</v>
      </c>
      <c r="Q150" s="3">
        <v>614024.91</v>
      </c>
      <c r="R150" s="3">
        <v>84828.93</v>
      </c>
    </row>
    <row r="151" spans="1:18" ht="14.45">
      <c r="A151" s="3" t="s">
        <v>93</v>
      </c>
      <c r="B151" s="4">
        <v>45689</v>
      </c>
      <c r="C151" s="3" t="s">
        <v>58</v>
      </c>
      <c r="D151" s="3" t="s">
        <v>62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f t="shared" si="8"/>
        <v>5.45</v>
      </c>
      <c r="L151" s="3">
        <f t="shared" si="9"/>
        <v>0</v>
      </c>
      <c r="M151" s="3">
        <v>0</v>
      </c>
      <c r="N151" s="3">
        <v>4.0999999999999996</v>
      </c>
      <c r="O151" s="3">
        <f t="shared" si="10"/>
        <v>4.0999999999999996</v>
      </c>
      <c r="P151" s="3">
        <f t="shared" si="11"/>
        <v>0</v>
      </c>
      <c r="Q151" s="3">
        <v>712868.35</v>
      </c>
      <c r="R151" s="3">
        <v>133650.51</v>
      </c>
    </row>
    <row r="152" spans="1:18" ht="14.45">
      <c r="A152" s="3" t="s">
        <v>93</v>
      </c>
      <c r="B152" s="4">
        <v>45717</v>
      </c>
      <c r="C152" s="3" t="s">
        <v>58</v>
      </c>
      <c r="D152" s="3" t="s">
        <v>62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f t="shared" si="8"/>
        <v>2.33</v>
      </c>
      <c r="L152" s="3">
        <f t="shared" si="9"/>
        <v>0</v>
      </c>
      <c r="M152" s="3">
        <v>1</v>
      </c>
      <c r="N152" s="3">
        <v>3.7</v>
      </c>
      <c r="O152" s="3">
        <f t="shared" si="10"/>
        <v>3.7</v>
      </c>
      <c r="P152" s="3">
        <f t="shared" si="11"/>
        <v>0</v>
      </c>
      <c r="Q152" s="3">
        <v>696744.15</v>
      </c>
      <c r="R152" s="3">
        <v>152230.09</v>
      </c>
    </row>
    <row r="153" spans="1:18" ht="14.45">
      <c r="A153" s="3" t="s">
        <v>93</v>
      </c>
      <c r="B153" s="4">
        <v>45748</v>
      </c>
      <c r="C153" s="3" t="s">
        <v>58</v>
      </c>
      <c r="D153" s="3" t="s">
        <v>62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f t="shared" si="8"/>
        <v>3.55</v>
      </c>
      <c r="L153" s="3">
        <f t="shared" si="9"/>
        <v>0</v>
      </c>
      <c r="M153" s="3">
        <v>0</v>
      </c>
      <c r="N153" s="3">
        <v>4.0999999999999996</v>
      </c>
      <c r="O153" s="3">
        <f t="shared" si="10"/>
        <v>4.0999999999999996</v>
      </c>
      <c r="P153" s="3">
        <f t="shared" si="11"/>
        <v>0</v>
      </c>
      <c r="Q153" s="3">
        <v>725847.99</v>
      </c>
      <c r="R153" s="3">
        <v>122698.73</v>
      </c>
    </row>
    <row r="154" spans="1:18" ht="14.45">
      <c r="A154" s="3" t="s">
        <v>94</v>
      </c>
      <c r="B154" s="4">
        <v>45658</v>
      </c>
      <c r="C154" s="3" t="s">
        <v>49</v>
      </c>
      <c r="D154" s="3" t="s">
        <v>52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f t="shared" si="8"/>
        <v>0.2</v>
      </c>
      <c r="L154" s="3">
        <f t="shared" si="9"/>
        <v>0</v>
      </c>
      <c r="M154" s="3">
        <v>0</v>
      </c>
      <c r="N154" s="3">
        <v>4.5</v>
      </c>
      <c r="O154" s="3">
        <f t="shared" si="10"/>
        <v>4.5</v>
      </c>
      <c r="P154" s="3">
        <f t="shared" si="11"/>
        <v>0</v>
      </c>
      <c r="Q154" s="3">
        <v>785028.25</v>
      </c>
      <c r="R154" s="3">
        <v>110726.44</v>
      </c>
    </row>
    <row r="155" spans="1:18" ht="14.45">
      <c r="A155" s="3" t="s">
        <v>94</v>
      </c>
      <c r="B155" s="4">
        <v>45689</v>
      </c>
      <c r="C155" s="3" t="s">
        <v>49</v>
      </c>
      <c r="D155" s="3" t="s">
        <v>52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f t="shared" si="8"/>
        <v>2.09</v>
      </c>
      <c r="L155" s="3">
        <f t="shared" si="9"/>
        <v>0</v>
      </c>
      <c r="M155" s="3">
        <v>0</v>
      </c>
      <c r="N155" s="3">
        <v>4.2</v>
      </c>
      <c r="O155" s="3">
        <f t="shared" si="10"/>
        <v>4.2</v>
      </c>
      <c r="P155" s="3">
        <f t="shared" si="11"/>
        <v>0</v>
      </c>
      <c r="Q155" s="3">
        <v>698492.67</v>
      </c>
      <c r="R155" s="3">
        <v>117319.32</v>
      </c>
    </row>
    <row r="156" spans="1:18" ht="14.45">
      <c r="A156" s="3" t="s">
        <v>94</v>
      </c>
      <c r="B156" s="4">
        <v>45717</v>
      </c>
      <c r="C156" s="3" t="s">
        <v>49</v>
      </c>
      <c r="D156" s="3" t="s">
        <v>52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f t="shared" si="8"/>
        <v>2.2599999999999998</v>
      </c>
      <c r="L156" s="3">
        <f t="shared" si="9"/>
        <v>0</v>
      </c>
      <c r="M156" s="3">
        <v>0</v>
      </c>
      <c r="N156" s="3">
        <v>4.2</v>
      </c>
      <c r="O156" s="3">
        <f t="shared" si="10"/>
        <v>4.2</v>
      </c>
      <c r="P156" s="3">
        <f t="shared" si="11"/>
        <v>0</v>
      </c>
      <c r="Q156" s="3">
        <v>685830.24</v>
      </c>
      <c r="R156" s="3">
        <v>128736.18</v>
      </c>
    </row>
    <row r="157" spans="1:18" ht="14.45">
      <c r="A157" s="3" t="s">
        <v>94</v>
      </c>
      <c r="B157" s="4">
        <v>45748</v>
      </c>
      <c r="C157" s="3" t="s">
        <v>49</v>
      </c>
      <c r="D157" s="3" t="s">
        <v>52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f t="shared" si="8"/>
        <v>0.44</v>
      </c>
      <c r="L157" s="3">
        <f t="shared" si="9"/>
        <v>0</v>
      </c>
      <c r="M157" s="3">
        <v>0</v>
      </c>
      <c r="N157" s="3">
        <v>4.4000000000000004</v>
      </c>
      <c r="O157" s="3">
        <f t="shared" si="10"/>
        <v>4.4000000000000004</v>
      </c>
      <c r="P157" s="3">
        <f t="shared" si="11"/>
        <v>0</v>
      </c>
      <c r="Q157" s="3">
        <v>702318.94</v>
      </c>
      <c r="R157" s="3">
        <v>112829.29</v>
      </c>
    </row>
    <row r="158" spans="1:18" ht="14.45">
      <c r="A158" s="3" t="s">
        <v>95</v>
      </c>
      <c r="B158" s="4">
        <v>45658</v>
      </c>
      <c r="C158" s="3" t="s">
        <v>54</v>
      </c>
      <c r="D158" s="3" t="s">
        <v>62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f t="shared" si="8"/>
        <v>3.08</v>
      </c>
      <c r="L158" s="3">
        <f t="shared" si="9"/>
        <v>0</v>
      </c>
      <c r="M158" s="3">
        <v>0</v>
      </c>
      <c r="N158" s="3">
        <v>3.9</v>
      </c>
      <c r="O158" s="3">
        <f t="shared" si="10"/>
        <v>3.9</v>
      </c>
      <c r="P158" s="3">
        <f t="shared" si="11"/>
        <v>0</v>
      </c>
      <c r="Q158" s="3">
        <v>700078.32</v>
      </c>
      <c r="R158" s="3">
        <v>123707.58</v>
      </c>
    </row>
    <row r="159" spans="1:18" ht="14.45">
      <c r="A159" s="3" t="s">
        <v>95</v>
      </c>
      <c r="B159" s="4">
        <v>45689</v>
      </c>
      <c r="C159" s="3" t="s">
        <v>54</v>
      </c>
      <c r="D159" s="3" t="s">
        <v>62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f t="shared" si="8"/>
        <v>7.99</v>
      </c>
      <c r="L159" s="3">
        <f t="shared" si="9"/>
        <v>0</v>
      </c>
      <c r="M159" s="3">
        <v>0</v>
      </c>
      <c r="N159" s="3">
        <v>3</v>
      </c>
      <c r="O159" s="3">
        <f t="shared" si="10"/>
        <v>3</v>
      </c>
      <c r="P159" s="3">
        <f t="shared" si="11"/>
        <v>0</v>
      </c>
      <c r="Q159" s="3">
        <v>602002.31999999995</v>
      </c>
      <c r="R159" s="3">
        <v>110453.28</v>
      </c>
    </row>
    <row r="160" spans="1:18" ht="14.45">
      <c r="A160" s="3" t="s">
        <v>95</v>
      </c>
      <c r="B160" s="4">
        <v>45717</v>
      </c>
      <c r="C160" s="3" t="s">
        <v>54</v>
      </c>
      <c r="D160" s="3" t="s">
        <v>62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f t="shared" si="8"/>
        <v>0.2</v>
      </c>
      <c r="L160" s="3">
        <f t="shared" si="9"/>
        <v>0</v>
      </c>
      <c r="M160" s="3">
        <v>0</v>
      </c>
      <c r="N160" s="3">
        <v>3.4</v>
      </c>
      <c r="O160" s="3">
        <f t="shared" si="10"/>
        <v>3.4</v>
      </c>
      <c r="P160" s="3">
        <f t="shared" si="11"/>
        <v>0</v>
      </c>
      <c r="Q160" s="3">
        <v>724216.07</v>
      </c>
      <c r="R160" s="3">
        <v>100627.56</v>
      </c>
    </row>
    <row r="161" spans="1:18" ht="14.45">
      <c r="A161" s="3" t="s">
        <v>95</v>
      </c>
      <c r="B161" s="4">
        <v>45748</v>
      </c>
      <c r="C161" s="3" t="s">
        <v>54</v>
      </c>
      <c r="D161" s="3" t="s">
        <v>62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f t="shared" si="8"/>
        <v>5.46</v>
      </c>
      <c r="L161" s="3">
        <f t="shared" si="9"/>
        <v>0</v>
      </c>
      <c r="M161" s="3">
        <v>0</v>
      </c>
      <c r="N161" s="3">
        <v>3.3</v>
      </c>
      <c r="O161" s="3">
        <f t="shared" si="10"/>
        <v>3.3</v>
      </c>
      <c r="P161" s="3">
        <f t="shared" si="11"/>
        <v>0</v>
      </c>
      <c r="Q161" s="3">
        <v>620973.03</v>
      </c>
      <c r="R161" s="3">
        <v>72303.850000000006</v>
      </c>
    </row>
    <row r="162" spans="1:18" ht="14.45">
      <c r="A162" s="3" t="s">
        <v>96</v>
      </c>
      <c r="B162" s="4">
        <v>45658</v>
      </c>
      <c r="C162" s="3" t="s">
        <v>58</v>
      </c>
      <c r="D162" s="3" t="s">
        <v>52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f t="shared" si="8"/>
        <v>4.05</v>
      </c>
      <c r="L162" s="3">
        <f t="shared" si="9"/>
        <v>0</v>
      </c>
      <c r="M162" s="3">
        <v>0</v>
      </c>
      <c r="N162" s="3">
        <v>4</v>
      </c>
      <c r="O162" s="3">
        <f t="shared" si="10"/>
        <v>4</v>
      </c>
      <c r="P162" s="3">
        <f t="shared" si="11"/>
        <v>0</v>
      </c>
      <c r="Q162" s="3">
        <v>650480.06000000006</v>
      </c>
      <c r="R162" s="3">
        <v>109012.07</v>
      </c>
    </row>
    <row r="163" spans="1:18" ht="14.45">
      <c r="A163" s="3" t="s">
        <v>96</v>
      </c>
      <c r="B163" s="4">
        <v>45689</v>
      </c>
      <c r="C163" s="3" t="s">
        <v>58</v>
      </c>
      <c r="D163" s="3" t="s">
        <v>52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f t="shared" si="8"/>
        <v>4.3600000000000003</v>
      </c>
      <c r="L163" s="3">
        <f t="shared" si="9"/>
        <v>0</v>
      </c>
      <c r="M163" s="3">
        <v>0</v>
      </c>
      <c r="N163" s="3">
        <v>4.2</v>
      </c>
      <c r="O163" s="3">
        <f t="shared" si="10"/>
        <v>4.2</v>
      </c>
      <c r="P163" s="3">
        <f t="shared" si="11"/>
        <v>0</v>
      </c>
      <c r="Q163" s="3">
        <v>778298.88</v>
      </c>
      <c r="R163" s="3">
        <v>130076.72</v>
      </c>
    </row>
    <row r="164" spans="1:18" ht="14.45">
      <c r="A164" s="3" t="s">
        <v>96</v>
      </c>
      <c r="B164" s="4">
        <v>45717</v>
      </c>
      <c r="C164" s="3" t="s">
        <v>58</v>
      </c>
      <c r="D164" s="3" t="s">
        <v>52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f t="shared" si="8"/>
        <v>3.3650000000000002</v>
      </c>
      <c r="L164" s="3">
        <f t="shared" si="9"/>
        <v>1</v>
      </c>
      <c r="M164" s="3">
        <v>0</v>
      </c>
      <c r="N164" s="3">
        <v>4.2</v>
      </c>
      <c r="O164" s="3">
        <f t="shared" si="10"/>
        <v>4.2</v>
      </c>
      <c r="P164" s="3">
        <f t="shared" si="11"/>
        <v>0</v>
      </c>
      <c r="Q164" s="3">
        <v>677096.71</v>
      </c>
      <c r="R164" s="3">
        <v>97174.11</v>
      </c>
    </row>
    <row r="165" spans="1:18" ht="14.45">
      <c r="A165" s="3" t="s">
        <v>96</v>
      </c>
      <c r="B165" s="4">
        <v>45748</v>
      </c>
      <c r="C165" s="3" t="s">
        <v>58</v>
      </c>
      <c r="D165" s="3" t="s">
        <v>52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f t="shared" si="8"/>
        <v>0.54</v>
      </c>
      <c r="L165" s="3">
        <f t="shared" si="9"/>
        <v>0</v>
      </c>
      <c r="M165" s="3">
        <v>0</v>
      </c>
      <c r="N165" s="3">
        <v>4.3</v>
      </c>
      <c r="O165" s="3">
        <f t="shared" si="10"/>
        <v>4.3</v>
      </c>
      <c r="P165" s="3">
        <f t="shared" si="11"/>
        <v>0</v>
      </c>
      <c r="Q165" s="3">
        <v>692008.64</v>
      </c>
      <c r="R165" s="3">
        <v>116337.87</v>
      </c>
    </row>
    <row r="166" spans="1:18" ht="14.45">
      <c r="A166" s="3" t="s">
        <v>97</v>
      </c>
      <c r="B166" s="4">
        <v>45658</v>
      </c>
      <c r="C166" s="3" t="s">
        <v>54</v>
      </c>
      <c r="D166" s="3" t="s">
        <v>62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f t="shared" si="8"/>
        <v>11.37</v>
      </c>
      <c r="L166" s="3">
        <f t="shared" si="9"/>
        <v>0</v>
      </c>
      <c r="M166" s="3">
        <v>1</v>
      </c>
      <c r="N166" s="3">
        <v>4.3</v>
      </c>
      <c r="O166" s="3">
        <f t="shared" si="10"/>
        <v>4.3</v>
      </c>
      <c r="P166" s="3">
        <f t="shared" si="11"/>
        <v>0</v>
      </c>
      <c r="Q166" s="3">
        <v>825797.91</v>
      </c>
      <c r="R166" s="3">
        <v>130945.24</v>
      </c>
    </row>
    <row r="167" spans="1:18" ht="14.45">
      <c r="A167" s="3" t="s">
        <v>97</v>
      </c>
      <c r="B167" s="4">
        <v>45689</v>
      </c>
      <c r="C167" s="3" t="s">
        <v>54</v>
      </c>
      <c r="D167" s="3" t="s">
        <v>62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f t="shared" si="8"/>
        <v>9.43</v>
      </c>
      <c r="L167" s="3">
        <f t="shared" si="9"/>
        <v>0</v>
      </c>
      <c r="M167" s="3">
        <v>0</v>
      </c>
      <c r="N167" s="3">
        <v>4.2</v>
      </c>
      <c r="O167" s="3">
        <f t="shared" si="10"/>
        <v>4.2</v>
      </c>
      <c r="P167" s="3">
        <f t="shared" si="11"/>
        <v>0</v>
      </c>
      <c r="Q167" s="3">
        <v>706285.52</v>
      </c>
      <c r="R167" s="3">
        <v>138014.72</v>
      </c>
    </row>
    <row r="168" spans="1:18" ht="14.45">
      <c r="A168" s="3" t="s">
        <v>97</v>
      </c>
      <c r="B168" s="4">
        <v>45717</v>
      </c>
      <c r="C168" s="3" t="s">
        <v>54</v>
      </c>
      <c r="D168" s="3" t="s">
        <v>62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f t="shared" si="8"/>
        <v>3.49</v>
      </c>
      <c r="L168" s="3">
        <f t="shared" si="9"/>
        <v>0</v>
      </c>
      <c r="M168" s="3">
        <v>0</v>
      </c>
      <c r="N168" s="3">
        <v>4</v>
      </c>
      <c r="O168" s="3">
        <f t="shared" si="10"/>
        <v>4</v>
      </c>
      <c r="P168" s="3">
        <f t="shared" si="11"/>
        <v>0</v>
      </c>
      <c r="Q168" s="3">
        <v>665534.69999999995</v>
      </c>
      <c r="R168" s="3">
        <v>113167.73</v>
      </c>
    </row>
    <row r="169" spans="1:18" ht="14.45">
      <c r="A169" s="3" t="s">
        <v>97</v>
      </c>
      <c r="B169" s="4">
        <v>45748</v>
      </c>
      <c r="C169" s="3" t="s">
        <v>54</v>
      </c>
      <c r="D169" s="3" t="s">
        <v>62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f t="shared" si="8"/>
        <v>7.86</v>
      </c>
      <c r="L169" s="3">
        <f t="shared" si="9"/>
        <v>0</v>
      </c>
      <c r="M169" s="3">
        <v>0</v>
      </c>
      <c r="N169" s="3">
        <v>4.0999999999999996</v>
      </c>
      <c r="O169" s="3">
        <f t="shared" si="10"/>
        <v>4.0999999999999996</v>
      </c>
      <c r="P169" s="3">
        <f t="shared" si="11"/>
        <v>0</v>
      </c>
      <c r="Q169" s="3">
        <v>820729.29</v>
      </c>
      <c r="R169" s="3">
        <v>159325.47</v>
      </c>
    </row>
    <row r="170" spans="1:18" ht="14.45">
      <c r="A170" s="3" t="s">
        <v>98</v>
      </c>
      <c r="B170" s="4">
        <v>45658</v>
      </c>
      <c r="C170" s="3" t="s">
        <v>49</v>
      </c>
      <c r="D170" s="3" t="s">
        <v>50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f t="shared" si="8"/>
        <v>12.55</v>
      </c>
      <c r="L170" s="3">
        <f t="shared" si="9"/>
        <v>0</v>
      </c>
      <c r="M170" s="3">
        <v>0</v>
      </c>
      <c r="N170" s="3">
        <v>4.9000000000000004</v>
      </c>
      <c r="O170" s="3">
        <f t="shared" si="10"/>
        <v>4.9000000000000004</v>
      </c>
      <c r="P170" s="3">
        <f t="shared" si="11"/>
        <v>0</v>
      </c>
      <c r="Q170" s="3">
        <v>739831.73</v>
      </c>
      <c r="R170" s="3">
        <v>119490.21</v>
      </c>
    </row>
    <row r="171" spans="1:18" ht="14.45">
      <c r="A171" s="3" t="s">
        <v>98</v>
      </c>
      <c r="B171" s="4">
        <v>45689</v>
      </c>
      <c r="C171" s="3" t="s">
        <v>49</v>
      </c>
      <c r="D171" s="3" t="s">
        <v>50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f t="shared" si="8"/>
        <v>3.48</v>
      </c>
      <c r="L171" s="3">
        <f t="shared" si="9"/>
        <v>0</v>
      </c>
      <c r="M171" s="3">
        <v>0</v>
      </c>
      <c r="N171" s="3">
        <v>5</v>
      </c>
      <c r="O171" s="3">
        <f t="shared" si="10"/>
        <v>5</v>
      </c>
      <c r="P171" s="3">
        <f t="shared" si="11"/>
        <v>0</v>
      </c>
      <c r="Q171" s="3">
        <v>593637.14</v>
      </c>
      <c r="R171" s="3">
        <v>106648.14</v>
      </c>
    </row>
    <row r="172" spans="1:18" ht="14.45">
      <c r="A172" s="3" t="s">
        <v>98</v>
      </c>
      <c r="B172" s="4">
        <v>45717</v>
      </c>
      <c r="C172" s="3" t="s">
        <v>49</v>
      </c>
      <c r="D172" s="3" t="s">
        <v>50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f t="shared" si="8"/>
        <v>7.73</v>
      </c>
      <c r="L172" s="3">
        <f t="shared" si="9"/>
        <v>0</v>
      </c>
      <c r="M172" s="3">
        <v>0</v>
      </c>
      <c r="N172" s="3">
        <v>4.9000000000000004</v>
      </c>
      <c r="O172" s="3">
        <f t="shared" si="10"/>
        <v>4.9000000000000004</v>
      </c>
      <c r="P172" s="3">
        <f t="shared" si="11"/>
        <v>0</v>
      </c>
      <c r="Q172" s="3">
        <v>769702.76</v>
      </c>
      <c r="R172" s="3">
        <v>158697</v>
      </c>
    </row>
    <row r="173" spans="1:18" ht="14.45">
      <c r="A173" s="3" t="s">
        <v>98</v>
      </c>
      <c r="B173" s="4">
        <v>45748</v>
      </c>
      <c r="C173" s="3" t="s">
        <v>49</v>
      </c>
      <c r="D173" s="3" t="s">
        <v>50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f t="shared" si="8"/>
        <v>0.25</v>
      </c>
      <c r="L173" s="3">
        <f t="shared" si="9"/>
        <v>0</v>
      </c>
      <c r="M173" s="3">
        <v>0</v>
      </c>
      <c r="N173" s="3">
        <v>4.4000000000000004</v>
      </c>
      <c r="O173" s="3">
        <f t="shared" si="10"/>
        <v>4.4000000000000004</v>
      </c>
      <c r="P173" s="3">
        <f t="shared" si="11"/>
        <v>0</v>
      </c>
      <c r="Q173" s="3">
        <v>679731.57</v>
      </c>
      <c r="R173" s="3">
        <v>121546.42</v>
      </c>
    </row>
    <row r="174" spans="1:18" ht="14.45">
      <c r="A174" s="3" t="s">
        <v>99</v>
      </c>
      <c r="B174" s="4">
        <v>45658</v>
      </c>
      <c r="C174" s="3" t="s">
        <v>49</v>
      </c>
      <c r="D174" s="3" t="s">
        <v>50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f t="shared" si="8"/>
        <v>6.43</v>
      </c>
      <c r="L174" s="3">
        <f t="shared" si="9"/>
        <v>0</v>
      </c>
      <c r="M174" s="3">
        <v>0</v>
      </c>
      <c r="N174" s="3">
        <v>3.3</v>
      </c>
      <c r="O174" s="3">
        <f t="shared" si="10"/>
        <v>3.3</v>
      </c>
      <c r="P174" s="3">
        <f t="shared" si="11"/>
        <v>0</v>
      </c>
      <c r="Q174" s="3">
        <v>780344.18</v>
      </c>
      <c r="R174" s="3">
        <v>118239.09</v>
      </c>
    </row>
    <row r="175" spans="1:18" ht="14.45">
      <c r="A175" s="3" t="s">
        <v>99</v>
      </c>
      <c r="B175" s="4">
        <v>45689</v>
      </c>
      <c r="C175" s="3" t="s">
        <v>49</v>
      </c>
      <c r="D175" s="3" t="s">
        <v>50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f t="shared" si="8"/>
        <v>2.11</v>
      </c>
      <c r="L175" s="3">
        <f t="shared" si="9"/>
        <v>0</v>
      </c>
      <c r="M175" s="3">
        <v>0</v>
      </c>
      <c r="N175" s="3">
        <v>3.1</v>
      </c>
      <c r="O175" s="3">
        <f t="shared" si="10"/>
        <v>3.1</v>
      </c>
      <c r="P175" s="3">
        <f t="shared" si="11"/>
        <v>0</v>
      </c>
      <c r="Q175" s="3">
        <v>721364.11</v>
      </c>
      <c r="R175" s="3">
        <v>147272.81</v>
      </c>
    </row>
    <row r="176" spans="1:18" ht="14.45">
      <c r="A176" s="3" t="s">
        <v>99</v>
      </c>
      <c r="B176" s="4">
        <v>45717</v>
      </c>
      <c r="C176" s="3" t="s">
        <v>49</v>
      </c>
      <c r="D176" s="3" t="s">
        <v>50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f t="shared" si="8"/>
        <v>9.1199999999999992</v>
      </c>
      <c r="L176" s="3">
        <f t="shared" si="9"/>
        <v>0</v>
      </c>
      <c r="M176" s="3">
        <v>0</v>
      </c>
      <c r="N176" s="3">
        <v>3.6</v>
      </c>
      <c r="O176" s="3">
        <f t="shared" si="10"/>
        <v>3.6</v>
      </c>
      <c r="P176" s="3">
        <f t="shared" si="11"/>
        <v>0</v>
      </c>
      <c r="Q176" s="3">
        <v>758138.29</v>
      </c>
      <c r="R176" s="3">
        <v>132975.26</v>
      </c>
    </row>
    <row r="177" spans="1:18" ht="14.45">
      <c r="A177" s="3" t="s">
        <v>99</v>
      </c>
      <c r="B177" s="4">
        <v>45748</v>
      </c>
      <c r="C177" s="3" t="s">
        <v>49</v>
      </c>
      <c r="D177" s="3" t="s">
        <v>50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f t="shared" si="8"/>
        <v>2.71</v>
      </c>
      <c r="L177" s="3">
        <f t="shared" si="9"/>
        <v>0</v>
      </c>
      <c r="M177" s="3">
        <v>0</v>
      </c>
      <c r="N177" s="3">
        <v>3.1</v>
      </c>
      <c r="O177" s="3">
        <f t="shared" si="10"/>
        <v>3.1</v>
      </c>
      <c r="P177" s="3">
        <f t="shared" si="11"/>
        <v>0</v>
      </c>
      <c r="Q177" s="3">
        <v>804264</v>
      </c>
      <c r="R177" s="3">
        <v>167117.91</v>
      </c>
    </row>
    <row r="178" spans="1:18" ht="14.45">
      <c r="A178" s="3" t="s">
        <v>100</v>
      </c>
      <c r="B178" s="4">
        <v>45658</v>
      </c>
      <c r="C178" s="3" t="s">
        <v>61</v>
      </c>
      <c r="D178" s="3" t="s">
        <v>55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f t="shared" si="8"/>
        <v>3.65</v>
      </c>
      <c r="L178" s="3">
        <f t="shared" si="9"/>
        <v>0</v>
      </c>
      <c r="M178" s="3">
        <v>1</v>
      </c>
      <c r="N178" s="3">
        <v>3.7</v>
      </c>
      <c r="O178" s="3">
        <f t="shared" si="10"/>
        <v>3.7</v>
      </c>
      <c r="P178" s="3">
        <f t="shared" si="11"/>
        <v>0</v>
      </c>
      <c r="Q178" s="3">
        <v>887537.75</v>
      </c>
      <c r="R178" s="3">
        <v>160362.92000000001</v>
      </c>
    </row>
    <row r="179" spans="1:18" ht="14.45">
      <c r="A179" s="3" t="s">
        <v>100</v>
      </c>
      <c r="B179" s="4">
        <v>45689</v>
      </c>
      <c r="C179" s="3" t="s">
        <v>61</v>
      </c>
      <c r="D179" s="3" t="s">
        <v>55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f t="shared" si="8"/>
        <v>7.86</v>
      </c>
      <c r="L179" s="3">
        <f t="shared" si="9"/>
        <v>0</v>
      </c>
      <c r="M179" s="3">
        <v>0</v>
      </c>
      <c r="N179" s="3">
        <v>4</v>
      </c>
      <c r="O179" s="3">
        <f t="shared" si="10"/>
        <v>4</v>
      </c>
      <c r="P179" s="3">
        <f t="shared" si="11"/>
        <v>0</v>
      </c>
      <c r="Q179" s="3">
        <v>783582</v>
      </c>
      <c r="R179" s="3">
        <v>130670.93</v>
      </c>
    </row>
    <row r="180" spans="1:18" ht="14.45">
      <c r="A180" s="3" t="s">
        <v>100</v>
      </c>
      <c r="B180" s="4">
        <v>45717</v>
      </c>
      <c r="C180" s="3" t="s">
        <v>61</v>
      </c>
      <c r="D180" s="3" t="s">
        <v>55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f t="shared" si="8"/>
        <v>0.3</v>
      </c>
      <c r="L180" s="3">
        <f t="shared" si="9"/>
        <v>0</v>
      </c>
      <c r="M180" s="3">
        <v>0</v>
      </c>
      <c r="N180" s="3">
        <v>4.0999999999999996</v>
      </c>
      <c r="O180" s="3">
        <f t="shared" si="10"/>
        <v>4.0999999999999996</v>
      </c>
      <c r="P180" s="3">
        <f t="shared" si="11"/>
        <v>0</v>
      </c>
      <c r="Q180" s="3">
        <v>781955.52</v>
      </c>
      <c r="R180" s="3">
        <v>152578.71</v>
      </c>
    </row>
    <row r="181" spans="1:18" ht="14.45">
      <c r="A181" s="3" t="s">
        <v>100</v>
      </c>
      <c r="B181" s="4">
        <v>45748</v>
      </c>
      <c r="C181" s="3" t="s">
        <v>61</v>
      </c>
      <c r="D181" s="3" t="s">
        <v>55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f t="shared" si="8"/>
        <v>8.44</v>
      </c>
      <c r="L181" s="3">
        <f t="shared" si="9"/>
        <v>0</v>
      </c>
      <c r="M181" s="3">
        <v>0</v>
      </c>
      <c r="N181" s="3">
        <v>4.0999999999999996</v>
      </c>
      <c r="O181" s="3">
        <f t="shared" si="10"/>
        <v>4.0999999999999996</v>
      </c>
      <c r="P181" s="3">
        <f t="shared" si="11"/>
        <v>0</v>
      </c>
      <c r="Q181" s="3">
        <v>898031.04</v>
      </c>
      <c r="R181" s="3">
        <v>138666.5</v>
      </c>
    </row>
    <row r="182" spans="1:18" ht="14.45">
      <c r="A182" s="3" t="s">
        <v>101</v>
      </c>
      <c r="B182" s="4">
        <v>45658</v>
      </c>
      <c r="C182" s="3" t="s">
        <v>61</v>
      </c>
      <c r="D182" s="3" t="s">
        <v>50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f t="shared" si="8"/>
        <v>5.27</v>
      </c>
      <c r="L182" s="3">
        <f t="shared" si="9"/>
        <v>0</v>
      </c>
      <c r="M182" s="3">
        <v>1</v>
      </c>
      <c r="N182" s="3">
        <v>3.9</v>
      </c>
      <c r="O182" s="3">
        <f t="shared" si="10"/>
        <v>3.9</v>
      </c>
      <c r="P182" s="3">
        <f t="shared" si="11"/>
        <v>0</v>
      </c>
      <c r="Q182" s="3">
        <v>855341.28</v>
      </c>
      <c r="R182" s="3">
        <v>175823.8</v>
      </c>
    </row>
    <row r="183" spans="1:18" ht="14.45">
      <c r="A183" s="3" t="s">
        <v>101</v>
      </c>
      <c r="B183" s="4">
        <v>45689</v>
      </c>
      <c r="C183" s="3" t="s">
        <v>61</v>
      </c>
      <c r="D183" s="3" t="s">
        <v>50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f t="shared" si="8"/>
        <v>13.22</v>
      </c>
      <c r="L183" s="3">
        <f t="shared" si="9"/>
        <v>0</v>
      </c>
      <c r="M183" s="3">
        <v>0</v>
      </c>
      <c r="N183" s="3">
        <v>3.6</v>
      </c>
      <c r="O183" s="3">
        <f t="shared" si="10"/>
        <v>3.6</v>
      </c>
      <c r="P183" s="3">
        <f t="shared" si="11"/>
        <v>0</v>
      </c>
      <c r="Q183" s="3">
        <v>751393.88</v>
      </c>
      <c r="R183" s="3">
        <v>91480.320000000007</v>
      </c>
    </row>
    <row r="184" spans="1:18" ht="14.45">
      <c r="A184" s="3" t="s">
        <v>101</v>
      </c>
      <c r="B184" s="4">
        <v>45717</v>
      </c>
      <c r="C184" s="3" t="s">
        <v>61</v>
      </c>
      <c r="D184" s="3" t="s">
        <v>50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f t="shared" si="8"/>
        <v>1.02</v>
      </c>
      <c r="L184" s="3">
        <f t="shared" si="9"/>
        <v>0</v>
      </c>
      <c r="M184" s="3">
        <v>1</v>
      </c>
      <c r="N184" s="3">
        <v>3.8</v>
      </c>
      <c r="O184" s="3">
        <f t="shared" si="10"/>
        <v>3.8</v>
      </c>
      <c r="P184" s="3">
        <f t="shared" si="11"/>
        <v>0</v>
      </c>
      <c r="Q184" s="3">
        <v>761077.08</v>
      </c>
      <c r="R184" s="3">
        <v>113605.93</v>
      </c>
    </row>
    <row r="185" spans="1:18" ht="14.45">
      <c r="A185" s="3" t="s">
        <v>101</v>
      </c>
      <c r="B185" s="4">
        <v>45748</v>
      </c>
      <c r="C185" s="3" t="s">
        <v>61</v>
      </c>
      <c r="D185" s="3" t="s">
        <v>50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f t="shared" si="8"/>
        <v>4.03</v>
      </c>
      <c r="L185" s="3">
        <f t="shared" si="9"/>
        <v>0</v>
      </c>
      <c r="M185" s="3">
        <v>0</v>
      </c>
      <c r="N185" s="3">
        <v>3.1</v>
      </c>
      <c r="O185" s="3">
        <f t="shared" si="10"/>
        <v>3.1</v>
      </c>
      <c r="P185" s="3">
        <f t="shared" si="11"/>
        <v>0</v>
      </c>
      <c r="Q185" s="3">
        <v>819660.59</v>
      </c>
      <c r="R185" s="3">
        <v>172699.95</v>
      </c>
    </row>
    <row r="186" spans="1:18" ht="14.45">
      <c r="A186" s="3" t="s">
        <v>102</v>
      </c>
      <c r="B186" s="4">
        <v>45658</v>
      </c>
      <c r="C186" s="3" t="s">
        <v>54</v>
      </c>
      <c r="D186" s="3" t="s">
        <v>52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f t="shared" si="8"/>
        <v>2.34</v>
      </c>
      <c r="L186" s="3">
        <f t="shared" si="9"/>
        <v>0</v>
      </c>
      <c r="M186" s="3">
        <v>0</v>
      </c>
      <c r="N186" s="3">
        <v>4.4000000000000004</v>
      </c>
      <c r="O186" s="3">
        <f t="shared" si="10"/>
        <v>4.4000000000000004</v>
      </c>
      <c r="P186" s="3">
        <f t="shared" si="11"/>
        <v>0</v>
      </c>
      <c r="Q186" s="3">
        <v>681855.56</v>
      </c>
      <c r="R186" s="3">
        <v>117645.61</v>
      </c>
    </row>
    <row r="187" spans="1:18" ht="14.45">
      <c r="A187" s="3" t="s">
        <v>102</v>
      </c>
      <c r="B187" s="4">
        <v>45689</v>
      </c>
      <c r="C187" s="3" t="s">
        <v>54</v>
      </c>
      <c r="D187" s="3" t="s">
        <v>52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f t="shared" si="8"/>
        <v>8.51</v>
      </c>
      <c r="L187" s="3">
        <f t="shared" si="9"/>
        <v>0</v>
      </c>
      <c r="M187" s="3">
        <v>0</v>
      </c>
      <c r="N187" s="3">
        <v>4.4000000000000004</v>
      </c>
      <c r="O187" s="3">
        <f t="shared" si="10"/>
        <v>4.4000000000000004</v>
      </c>
      <c r="P187" s="3">
        <f t="shared" si="11"/>
        <v>0</v>
      </c>
      <c r="Q187" s="3">
        <v>678311.17</v>
      </c>
      <c r="R187" s="3">
        <v>132029.76000000001</v>
      </c>
    </row>
    <row r="188" spans="1:18" ht="14.45">
      <c r="A188" s="3" t="s">
        <v>102</v>
      </c>
      <c r="B188" s="4">
        <v>45717</v>
      </c>
      <c r="C188" s="3" t="s">
        <v>54</v>
      </c>
      <c r="D188" s="3" t="s">
        <v>52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f t="shared" si="8"/>
        <v>0.48</v>
      </c>
      <c r="L188" s="3">
        <f t="shared" si="9"/>
        <v>0</v>
      </c>
      <c r="M188" s="3">
        <v>1</v>
      </c>
      <c r="N188" s="3">
        <v>4.3</v>
      </c>
      <c r="O188" s="3">
        <f t="shared" si="10"/>
        <v>4.3</v>
      </c>
      <c r="P188" s="3">
        <f t="shared" si="11"/>
        <v>0</v>
      </c>
      <c r="Q188" s="3">
        <v>765906.95</v>
      </c>
      <c r="R188" s="3">
        <v>114005.9</v>
      </c>
    </row>
    <row r="189" spans="1:18" ht="14.45">
      <c r="A189" s="3" t="s">
        <v>102</v>
      </c>
      <c r="B189" s="4">
        <v>45748</v>
      </c>
      <c r="C189" s="3" t="s">
        <v>54</v>
      </c>
      <c r="D189" s="3" t="s">
        <v>52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f t="shared" si="8"/>
        <v>13.62</v>
      </c>
      <c r="L189" s="3">
        <f t="shared" si="9"/>
        <v>0</v>
      </c>
      <c r="M189" s="3">
        <v>0</v>
      </c>
      <c r="N189" s="3">
        <v>4.2</v>
      </c>
      <c r="O189" s="3">
        <f t="shared" si="10"/>
        <v>4.2</v>
      </c>
      <c r="P189" s="3">
        <f t="shared" si="11"/>
        <v>0</v>
      </c>
      <c r="Q189" s="3">
        <v>712546.38</v>
      </c>
      <c r="R189" s="3">
        <v>101480.04</v>
      </c>
    </row>
    <row r="190" spans="1:18" ht="14.45">
      <c r="A190" s="3" t="s">
        <v>103</v>
      </c>
      <c r="B190" s="4">
        <v>45658</v>
      </c>
      <c r="C190" s="3" t="s">
        <v>49</v>
      </c>
      <c r="D190" s="3" t="s">
        <v>52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f t="shared" si="8"/>
        <v>7.77</v>
      </c>
      <c r="L190" s="3">
        <f t="shared" si="9"/>
        <v>0</v>
      </c>
      <c r="M190" s="3">
        <v>0</v>
      </c>
      <c r="N190" s="3">
        <v>4.0999999999999996</v>
      </c>
      <c r="O190" s="3">
        <f t="shared" si="10"/>
        <v>4.0999999999999996</v>
      </c>
      <c r="P190" s="3">
        <f t="shared" si="11"/>
        <v>0</v>
      </c>
      <c r="Q190" s="3">
        <v>625993.82999999996</v>
      </c>
      <c r="R190" s="3">
        <v>98960.320000000007</v>
      </c>
    </row>
    <row r="191" spans="1:18" ht="14.45">
      <c r="A191" s="3" t="s">
        <v>103</v>
      </c>
      <c r="B191" s="4">
        <v>45689</v>
      </c>
      <c r="C191" s="3" t="s">
        <v>49</v>
      </c>
      <c r="D191" s="3" t="s">
        <v>52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f t="shared" si="8"/>
        <v>1.99</v>
      </c>
      <c r="L191" s="3">
        <f t="shared" si="9"/>
        <v>0</v>
      </c>
      <c r="M191" s="3">
        <v>0</v>
      </c>
      <c r="N191" s="3">
        <v>3.8</v>
      </c>
      <c r="O191" s="3">
        <f t="shared" si="10"/>
        <v>3.8</v>
      </c>
      <c r="P191" s="3">
        <f t="shared" si="11"/>
        <v>0</v>
      </c>
      <c r="Q191" s="3">
        <v>550962.93000000005</v>
      </c>
      <c r="R191" s="3">
        <v>97144.58</v>
      </c>
    </row>
    <row r="192" spans="1:18" ht="14.45">
      <c r="A192" s="3" t="s">
        <v>103</v>
      </c>
      <c r="B192" s="4">
        <v>45717</v>
      </c>
      <c r="C192" s="3" t="s">
        <v>49</v>
      </c>
      <c r="D192" s="3" t="s">
        <v>52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f t="shared" si="8"/>
        <v>4.7699999999999996</v>
      </c>
      <c r="L192" s="3">
        <f t="shared" si="9"/>
        <v>0</v>
      </c>
      <c r="M192" s="3">
        <v>0</v>
      </c>
      <c r="N192" s="3">
        <v>3.8</v>
      </c>
      <c r="O192" s="3">
        <f t="shared" si="10"/>
        <v>3.8</v>
      </c>
      <c r="P192" s="3">
        <f t="shared" si="11"/>
        <v>0</v>
      </c>
      <c r="Q192" s="3">
        <v>443275.59</v>
      </c>
      <c r="R192" s="3">
        <v>53544.36</v>
      </c>
    </row>
    <row r="193" spans="1:18" ht="14.45">
      <c r="A193" s="3" t="s">
        <v>103</v>
      </c>
      <c r="B193" s="4">
        <v>45748</v>
      </c>
      <c r="C193" s="3" t="s">
        <v>49</v>
      </c>
      <c r="D193" s="3" t="s">
        <v>52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f t="shared" si="8"/>
        <v>0.2</v>
      </c>
      <c r="L193" s="3">
        <f t="shared" si="9"/>
        <v>0</v>
      </c>
      <c r="M193" s="3">
        <v>0</v>
      </c>
      <c r="N193" s="3">
        <v>4.4000000000000004</v>
      </c>
      <c r="O193" s="3">
        <f t="shared" si="10"/>
        <v>4.4000000000000004</v>
      </c>
      <c r="P193" s="3">
        <f t="shared" si="11"/>
        <v>0</v>
      </c>
      <c r="Q193" s="3">
        <v>554012.06999999995</v>
      </c>
      <c r="R193" s="3">
        <v>81101.62</v>
      </c>
    </row>
    <row r="194" spans="1:18" ht="14.45">
      <c r="A194" s="3" t="s">
        <v>104</v>
      </c>
      <c r="B194" s="4">
        <v>45658</v>
      </c>
      <c r="C194" s="3" t="s">
        <v>61</v>
      </c>
      <c r="D194" s="3" t="s">
        <v>50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f t="shared" si="8"/>
        <v>0.53</v>
      </c>
      <c r="L194" s="3">
        <f t="shared" si="9"/>
        <v>0</v>
      </c>
      <c r="M194" s="3">
        <v>0</v>
      </c>
      <c r="N194" s="3">
        <v>3.2</v>
      </c>
      <c r="O194" s="3">
        <f t="shared" si="10"/>
        <v>3.2</v>
      </c>
      <c r="P194" s="3">
        <f t="shared" si="11"/>
        <v>0</v>
      </c>
      <c r="Q194" s="3">
        <v>643428.85</v>
      </c>
      <c r="R194" s="3">
        <v>94477.63</v>
      </c>
    </row>
    <row r="195" spans="1:18" ht="14.45">
      <c r="A195" s="3" t="s">
        <v>104</v>
      </c>
      <c r="B195" s="4">
        <v>45689</v>
      </c>
      <c r="C195" s="3" t="s">
        <v>61</v>
      </c>
      <c r="D195" s="3" t="s">
        <v>50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f t="shared" ref="K195:K258" si="12">IF(ISBLANK(J195),MEDIAN($J$2:$J$321),J195)</f>
        <v>1.54</v>
      </c>
      <c r="L195" s="3">
        <f t="shared" ref="L195:L258" si="13">IF(ISBLANK(J195),1,0)</f>
        <v>0</v>
      </c>
      <c r="M195" s="3">
        <v>0</v>
      </c>
      <c r="N195" s="3">
        <v>3.2</v>
      </c>
      <c r="O195" s="3">
        <f t="shared" ref="O195:O258" si="14">IF(ISBLANK(N195),MEDIAN($N$2:$N$321),N195)</f>
        <v>3.2</v>
      </c>
      <c r="P195" s="3">
        <f t="shared" ref="P195:P258" si="15">IF(ISBLANK(N195),1,0)</f>
        <v>0</v>
      </c>
      <c r="Q195" s="3">
        <v>611924.27</v>
      </c>
      <c r="R195" s="3">
        <v>115488.75</v>
      </c>
    </row>
    <row r="196" spans="1:18" ht="14.45">
      <c r="A196" s="3" t="s">
        <v>104</v>
      </c>
      <c r="B196" s="4">
        <v>45717</v>
      </c>
      <c r="C196" s="3" t="s">
        <v>61</v>
      </c>
      <c r="D196" s="3" t="s">
        <v>50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f t="shared" si="12"/>
        <v>3.63</v>
      </c>
      <c r="L196" s="3">
        <f t="shared" si="13"/>
        <v>0</v>
      </c>
      <c r="M196" s="3">
        <v>0</v>
      </c>
      <c r="N196" s="3">
        <v>3.7</v>
      </c>
      <c r="O196" s="3">
        <f t="shared" si="14"/>
        <v>3.7</v>
      </c>
      <c r="P196" s="3">
        <f t="shared" si="15"/>
        <v>0</v>
      </c>
      <c r="Q196" s="3">
        <v>559422.02</v>
      </c>
      <c r="R196" s="3">
        <v>73528.740000000005</v>
      </c>
    </row>
    <row r="197" spans="1:18" ht="14.45">
      <c r="A197" s="3" t="s">
        <v>104</v>
      </c>
      <c r="B197" s="4">
        <v>45748</v>
      </c>
      <c r="C197" s="3" t="s">
        <v>61</v>
      </c>
      <c r="D197" s="3" t="s">
        <v>50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f t="shared" si="12"/>
        <v>13.48</v>
      </c>
      <c r="L197" s="3">
        <f t="shared" si="13"/>
        <v>0</v>
      </c>
      <c r="M197" s="3">
        <v>0</v>
      </c>
      <c r="N197" s="3"/>
      <c r="O197" s="3">
        <f t="shared" si="14"/>
        <v>3.9</v>
      </c>
      <c r="P197" s="3">
        <f t="shared" si="15"/>
        <v>1</v>
      </c>
      <c r="Q197" s="3">
        <v>449465.06</v>
      </c>
      <c r="R197" s="3">
        <v>65694.78</v>
      </c>
    </row>
    <row r="198" spans="1:18" ht="14.45">
      <c r="A198" s="3" t="s">
        <v>105</v>
      </c>
      <c r="B198" s="4">
        <v>45658</v>
      </c>
      <c r="C198" s="3" t="s">
        <v>54</v>
      </c>
      <c r="D198" s="3" t="s">
        <v>50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f t="shared" si="12"/>
        <v>0.2</v>
      </c>
      <c r="L198" s="3">
        <f t="shared" si="13"/>
        <v>0</v>
      </c>
      <c r="M198" s="3">
        <v>0</v>
      </c>
      <c r="N198" s="3">
        <v>4.2</v>
      </c>
      <c r="O198" s="3">
        <f t="shared" si="14"/>
        <v>4.2</v>
      </c>
      <c r="P198" s="3">
        <f t="shared" si="15"/>
        <v>0</v>
      </c>
      <c r="Q198" s="3">
        <v>691447.43</v>
      </c>
      <c r="R198" s="3">
        <v>114077.69</v>
      </c>
    </row>
    <row r="199" spans="1:18" ht="14.45">
      <c r="A199" s="3" t="s">
        <v>105</v>
      </c>
      <c r="B199" s="4">
        <v>45689</v>
      </c>
      <c r="C199" s="3" t="s">
        <v>54</v>
      </c>
      <c r="D199" s="3" t="s">
        <v>50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f t="shared" si="12"/>
        <v>12.82</v>
      </c>
      <c r="L199" s="3">
        <f t="shared" si="13"/>
        <v>0</v>
      </c>
      <c r="M199" s="3">
        <v>0</v>
      </c>
      <c r="N199" s="3">
        <v>4.5999999999999996</v>
      </c>
      <c r="O199" s="3">
        <f t="shared" si="14"/>
        <v>4.5999999999999996</v>
      </c>
      <c r="P199" s="3">
        <f t="shared" si="15"/>
        <v>0</v>
      </c>
      <c r="Q199" s="3">
        <v>574066.61</v>
      </c>
      <c r="R199" s="3">
        <v>124674.67</v>
      </c>
    </row>
    <row r="200" spans="1:18" ht="14.45">
      <c r="A200" s="3" t="s">
        <v>105</v>
      </c>
      <c r="B200" s="4">
        <v>45717</v>
      </c>
      <c r="C200" s="3" t="s">
        <v>54</v>
      </c>
      <c r="D200" s="3" t="s">
        <v>50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f t="shared" si="12"/>
        <v>2.2400000000000002</v>
      </c>
      <c r="L200" s="3">
        <f t="shared" si="13"/>
        <v>0</v>
      </c>
      <c r="M200" s="3">
        <v>1</v>
      </c>
      <c r="N200" s="3">
        <v>4.3</v>
      </c>
      <c r="O200" s="3">
        <f t="shared" si="14"/>
        <v>4.3</v>
      </c>
      <c r="P200" s="3">
        <f t="shared" si="15"/>
        <v>0</v>
      </c>
      <c r="Q200" s="3">
        <v>578949.84</v>
      </c>
      <c r="R200" s="3">
        <v>80253.649999999994</v>
      </c>
    </row>
    <row r="201" spans="1:18" ht="14.45">
      <c r="A201" s="3" t="s">
        <v>105</v>
      </c>
      <c r="B201" s="4">
        <v>45748</v>
      </c>
      <c r="C201" s="3" t="s">
        <v>54</v>
      </c>
      <c r="D201" s="3" t="s">
        <v>50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f t="shared" si="12"/>
        <v>1.8</v>
      </c>
      <c r="L201" s="3">
        <f t="shared" si="13"/>
        <v>0</v>
      </c>
      <c r="M201" s="3">
        <v>0</v>
      </c>
      <c r="N201" s="3">
        <v>4.8</v>
      </c>
      <c r="O201" s="3">
        <f t="shared" si="14"/>
        <v>4.8</v>
      </c>
      <c r="P201" s="3">
        <f t="shared" si="15"/>
        <v>0</v>
      </c>
      <c r="Q201" s="3">
        <v>735786.64</v>
      </c>
      <c r="R201" s="3">
        <v>126540.66</v>
      </c>
    </row>
    <row r="202" spans="1:18" ht="14.45">
      <c r="A202" s="3" t="s">
        <v>106</v>
      </c>
      <c r="B202" s="4">
        <v>45658</v>
      </c>
      <c r="C202" s="3" t="s">
        <v>49</v>
      </c>
      <c r="D202" s="3" t="s">
        <v>55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f t="shared" si="12"/>
        <v>0.41</v>
      </c>
      <c r="L202" s="3">
        <f t="shared" si="13"/>
        <v>0</v>
      </c>
      <c r="M202" s="3">
        <v>1</v>
      </c>
      <c r="N202" s="3">
        <v>4.5999999999999996</v>
      </c>
      <c r="O202" s="3">
        <f t="shared" si="14"/>
        <v>4.5999999999999996</v>
      </c>
      <c r="P202" s="3">
        <f t="shared" si="15"/>
        <v>0</v>
      </c>
      <c r="Q202" s="3">
        <v>598904.9</v>
      </c>
      <c r="R202" s="3">
        <v>72861</v>
      </c>
    </row>
    <row r="203" spans="1:18" ht="14.45">
      <c r="A203" s="3" t="s">
        <v>106</v>
      </c>
      <c r="B203" s="4">
        <v>45689</v>
      </c>
      <c r="C203" s="3" t="s">
        <v>49</v>
      </c>
      <c r="D203" s="3" t="s">
        <v>55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f t="shared" si="12"/>
        <v>3.05</v>
      </c>
      <c r="L203" s="3">
        <f t="shared" si="13"/>
        <v>0</v>
      </c>
      <c r="M203" s="3">
        <v>0</v>
      </c>
      <c r="N203" s="3">
        <v>4.8</v>
      </c>
      <c r="O203" s="3">
        <f t="shared" si="14"/>
        <v>4.8</v>
      </c>
      <c r="P203" s="3">
        <f t="shared" si="15"/>
        <v>0</v>
      </c>
      <c r="Q203" s="3">
        <v>787715.51</v>
      </c>
      <c r="R203" s="3">
        <v>128969.62</v>
      </c>
    </row>
    <row r="204" spans="1:18" ht="14.45">
      <c r="A204" s="3" t="s">
        <v>106</v>
      </c>
      <c r="B204" s="4">
        <v>45717</v>
      </c>
      <c r="C204" s="3" t="s">
        <v>49</v>
      </c>
      <c r="D204" s="3" t="s">
        <v>55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f t="shared" si="12"/>
        <v>8.44</v>
      </c>
      <c r="L204" s="3">
        <f t="shared" si="13"/>
        <v>0</v>
      </c>
      <c r="M204" s="3">
        <v>1</v>
      </c>
      <c r="N204" s="3">
        <v>5</v>
      </c>
      <c r="O204" s="3">
        <f t="shared" si="14"/>
        <v>5</v>
      </c>
      <c r="P204" s="3">
        <f t="shared" si="15"/>
        <v>0</v>
      </c>
      <c r="Q204" s="3">
        <v>607084.92000000004</v>
      </c>
      <c r="R204" s="3">
        <v>98558.49</v>
      </c>
    </row>
    <row r="205" spans="1:18" ht="14.45">
      <c r="A205" s="3" t="s">
        <v>106</v>
      </c>
      <c r="B205" s="4">
        <v>45748</v>
      </c>
      <c r="C205" s="3" t="s">
        <v>49</v>
      </c>
      <c r="D205" s="3" t="s">
        <v>55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f t="shared" si="12"/>
        <v>0.78</v>
      </c>
      <c r="L205" s="3">
        <f t="shared" si="13"/>
        <v>0</v>
      </c>
      <c r="M205" s="3">
        <v>0</v>
      </c>
      <c r="N205" s="3">
        <v>4</v>
      </c>
      <c r="O205" s="3">
        <f t="shared" si="14"/>
        <v>4</v>
      </c>
      <c r="P205" s="3">
        <f t="shared" si="15"/>
        <v>0</v>
      </c>
      <c r="Q205" s="3">
        <v>650795.49</v>
      </c>
      <c r="R205" s="3">
        <v>103035.89</v>
      </c>
    </row>
    <row r="206" spans="1:18" ht="14.45">
      <c r="A206" s="3" t="s">
        <v>107</v>
      </c>
      <c r="B206" s="4">
        <v>45658</v>
      </c>
      <c r="C206" s="3" t="s">
        <v>49</v>
      </c>
      <c r="D206" s="3" t="s">
        <v>62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f t="shared" si="12"/>
        <v>0.87</v>
      </c>
      <c r="L206" s="3">
        <f t="shared" si="13"/>
        <v>0</v>
      </c>
      <c r="M206" s="3">
        <v>0</v>
      </c>
      <c r="N206" s="3">
        <v>3.7</v>
      </c>
      <c r="O206" s="3">
        <f t="shared" si="14"/>
        <v>3.7</v>
      </c>
      <c r="P206" s="3">
        <f t="shared" si="15"/>
        <v>0</v>
      </c>
      <c r="Q206" s="3">
        <v>825060.52</v>
      </c>
      <c r="R206" s="3">
        <v>143613.15</v>
      </c>
    </row>
    <row r="207" spans="1:18" ht="14.45">
      <c r="A207" s="3" t="s">
        <v>107</v>
      </c>
      <c r="B207" s="4">
        <v>45689</v>
      </c>
      <c r="C207" s="3" t="s">
        <v>49</v>
      </c>
      <c r="D207" s="3" t="s">
        <v>62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f t="shared" si="12"/>
        <v>0.95</v>
      </c>
      <c r="L207" s="3">
        <f t="shared" si="13"/>
        <v>0</v>
      </c>
      <c r="M207" s="3">
        <v>0</v>
      </c>
      <c r="N207" s="3">
        <v>3.7</v>
      </c>
      <c r="O207" s="3">
        <f t="shared" si="14"/>
        <v>3.7</v>
      </c>
      <c r="P207" s="3">
        <f t="shared" si="15"/>
        <v>0</v>
      </c>
      <c r="Q207" s="3">
        <v>795464.47</v>
      </c>
      <c r="R207" s="3">
        <v>161150.51999999999</v>
      </c>
    </row>
    <row r="208" spans="1:18" ht="14.45">
      <c r="A208" s="3" t="s">
        <v>107</v>
      </c>
      <c r="B208" s="4">
        <v>45717</v>
      </c>
      <c r="C208" s="3" t="s">
        <v>49</v>
      </c>
      <c r="D208" s="3" t="s">
        <v>62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f t="shared" si="12"/>
        <v>3.82</v>
      </c>
      <c r="L208" s="3">
        <f t="shared" si="13"/>
        <v>0</v>
      </c>
      <c r="M208" s="3">
        <v>0</v>
      </c>
      <c r="N208" s="3">
        <v>3.7</v>
      </c>
      <c r="O208" s="3">
        <f t="shared" si="14"/>
        <v>3.7</v>
      </c>
      <c r="P208" s="3">
        <f t="shared" si="15"/>
        <v>0</v>
      </c>
      <c r="Q208" s="3">
        <v>671868.59</v>
      </c>
      <c r="R208" s="3">
        <v>71003.28</v>
      </c>
    </row>
    <row r="209" spans="1:18" ht="14.45">
      <c r="A209" s="3" t="s">
        <v>107</v>
      </c>
      <c r="B209" s="4">
        <v>45748</v>
      </c>
      <c r="C209" s="3" t="s">
        <v>49</v>
      </c>
      <c r="D209" s="3" t="s">
        <v>62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f t="shared" si="12"/>
        <v>2.7</v>
      </c>
      <c r="L209" s="3">
        <f t="shared" si="13"/>
        <v>0</v>
      </c>
      <c r="M209" s="3">
        <v>0</v>
      </c>
      <c r="N209" s="3">
        <v>3.7</v>
      </c>
      <c r="O209" s="3">
        <f t="shared" si="14"/>
        <v>3.7</v>
      </c>
      <c r="P209" s="3">
        <f t="shared" si="15"/>
        <v>0</v>
      </c>
      <c r="Q209" s="3">
        <v>675917.63</v>
      </c>
      <c r="R209" s="3">
        <v>112564.75</v>
      </c>
    </row>
    <row r="210" spans="1:18" ht="14.45">
      <c r="A210" s="3" t="s">
        <v>108</v>
      </c>
      <c r="B210" s="4">
        <v>45658</v>
      </c>
      <c r="C210" s="3" t="s">
        <v>49</v>
      </c>
      <c r="D210" s="3" t="s">
        <v>52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f t="shared" si="12"/>
        <v>3.84</v>
      </c>
      <c r="L210" s="3">
        <f t="shared" si="13"/>
        <v>0</v>
      </c>
      <c r="M210" s="3">
        <v>1</v>
      </c>
      <c r="N210" s="3">
        <v>3.7</v>
      </c>
      <c r="O210" s="3">
        <f t="shared" si="14"/>
        <v>3.7</v>
      </c>
      <c r="P210" s="3">
        <f t="shared" si="15"/>
        <v>0</v>
      </c>
      <c r="Q210" s="3">
        <v>810446.53</v>
      </c>
      <c r="R210" s="3">
        <v>200575.34</v>
      </c>
    </row>
    <row r="211" spans="1:18" ht="14.45">
      <c r="A211" s="3" t="s">
        <v>108</v>
      </c>
      <c r="B211" s="4">
        <v>45689</v>
      </c>
      <c r="C211" s="3" t="s">
        <v>49</v>
      </c>
      <c r="D211" s="3" t="s">
        <v>52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f t="shared" si="12"/>
        <v>5.09</v>
      </c>
      <c r="L211" s="3">
        <f t="shared" si="13"/>
        <v>0</v>
      </c>
      <c r="M211" s="3">
        <v>0</v>
      </c>
      <c r="N211" s="3">
        <v>3.3</v>
      </c>
      <c r="O211" s="3">
        <f t="shared" si="14"/>
        <v>3.3</v>
      </c>
      <c r="P211" s="3">
        <f t="shared" si="15"/>
        <v>0</v>
      </c>
      <c r="Q211" s="3">
        <v>691288.19</v>
      </c>
      <c r="R211" s="3">
        <v>159074.14000000001</v>
      </c>
    </row>
    <row r="212" spans="1:18" ht="14.45">
      <c r="A212" s="3" t="s">
        <v>108</v>
      </c>
      <c r="B212" s="4">
        <v>45717</v>
      </c>
      <c r="C212" s="3" t="s">
        <v>49</v>
      </c>
      <c r="D212" s="3" t="s">
        <v>52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f t="shared" si="12"/>
        <v>3.82</v>
      </c>
      <c r="L212" s="3">
        <f t="shared" si="13"/>
        <v>0</v>
      </c>
      <c r="M212" s="3">
        <v>1</v>
      </c>
      <c r="N212" s="3">
        <v>3.7</v>
      </c>
      <c r="O212" s="3">
        <f t="shared" si="14"/>
        <v>3.7</v>
      </c>
      <c r="P212" s="3">
        <f t="shared" si="15"/>
        <v>0</v>
      </c>
      <c r="Q212" s="3">
        <v>946833.54</v>
      </c>
      <c r="R212" s="3">
        <v>184540.31</v>
      </c>
    </row>
    <row r="213" spans="1:18" ht="14.45">
      <c r="A213" s="3" t="s">
        <v>108</v>
      </c>
      <c r="B213" s="4">
        <v>45748</v>
      </c>
      <c r="C213" s="3" t="s">
        <v>49</v>
      </c>
      <c r="D213" s="3" t="s">
        <v>52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f t="shared" si="12"/>
        <v>12.28</v>
      </c>
      <c r="L213" s="3">
        <f t="shared" si="13"/>
        <v>0</v>
      </c>
      <c r="M213" s="3">
        <v>0</v>
      </c>
      <c r="N213" s="3">
        <v>4.0999999999999996</v>
      </c>
      <c r="O213" s="3">
        <f t="shared" si="14"/>
        <v>4.0999999999999996</v>
      </c>
      <c r="P213" s="3">
        <f t="shared" si="15"/>
        <v>0</v>
      </c>
      <c r="Q213" s="3">
        <v>761963.23</v>
      </c>
      <c r="R213" s="3">
        <v>150113.60999999999</v>
      </c>
    </row>
    <row r="214" spans="1:18" ht="14.45">
      <c r="A214" s="3" t="s">
        <v>109</v>
      </c>
      <c r="B214" s="4">
        <v>45658</v>
      </c>
      <c r="C214" s="3" t="s">
        <v>61</v>
      </c>
      <c r="D214" s="3" t="s">
        <v>50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f t="shared" si="12"/>
        <v>2.8</v>
      </c>
      <c r="L214" s="3">
        <f t="shared" si="13"/>
        <v>0</v>
      </c>
      <c r="M214" s="3">
        <v>0</v>
      </c>
      <c r="N214" s="3">
        <v>4.3</v>
      </c>
      <c r="O214" s="3">
        <f t="shared" si="14"/>
        <v>4.3</v>
      </c>
      <c r="P214" s="3">
        <f t="shared" si="15"/>
        <v>0</v>
      </c>
      <c r="Q214" s="3">
        <v>812152.6</v>
      </c>
      <c r="R214" s="3">
        <v>138419.43</v>
      </c>
    </row>
    <row r="215" spans="1:18" ht="14.45">
      <c r="A215" s="3" t="s">
        <v>109</v>
      </c>
      <c r="B215" s="4">
        <v>45689</v>
      </c>
      <c r="C215" s="3" t="s">
        <v>61</v>
      </c>
      <c r="D215" s="3" t="s">
        <v>50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f t="shared" si="12"/>
        <v>3.67</v>
      </c>
      <c r="L215" s="3">
        <f t="shared" si="13"/>
        <v>0</v>
      </c>
      <c r="M215" s="3">
        <v>0</v>
      </c>
      <c r="N215" s="3">
        <v>4.2</v>
      </c>
      <c r="O215" s="3">
        <f t="shared" si="14"/>
        <v>4.2</v>
      </c>
      <c r="P215" s="3">
        <f t="shared" si="15"/>
        <v>0</v>
      </c>
      <c r="Q215" s="3">
        <v>804975.5</v>
      </c>
      <c r="R215" s="3">
        <v>140054.5</v>
      </c>
    </row>
    <row r="216" spans="1:18" ht="14.45">
      <c r="A216" s="3" t="s">
        <v>109</v>
      </c>
      <c r="B216" s="4">
        <v>45717</v>
      </c>
      <c r="C216" s="3" t="s">
        <v>61</v>
      </c>
      <c r="D216" s="3" t="s">
        <v>50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f t="shared" si="12"/>
        <v>2.81</v>
      </c>
      <c r="L216" s="3">
        <f t="shared" si="13"/>
        <v>0</v>
      </c>
      <c r="M216" s="3">
        <v>0</v>
      </c>
      <c r="N216" s="3">
        <v>4.7</v>
      </c>
      <c r="O216" s="3">
        <f t="shared" si="14"/>
        <v>4.7</v>
      </c>
      <c r="P216" s="3">
        <f t="shared" si="15"/>
        <v>0</v>
      </c>
      <c r="Q216" s="3">
        <v>752321.72</v>
      </c>
      <c r="R216" s="3">
        <v>137788.51</v>
      </c>
    </row>
    <row r="217" spans="1:18" ht="14.45">
      <c r="A217" s="3" t="s">
        <v>109</v>
      </c>
      <c r="B217" s="4">
        <v>45748</v>
      </c>
      <c r="C217" s="3" t="s">
        <v>61</v>
      </c>
      <c r="D217" s="3" t="s">
        <v>50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f t="shared" si="12"/>
        <v>2.44</v>
      </c>
      <c r="L217" s="3">
        <f t="shared" si="13"/>
        <v>0</v>
      </c>
      <c r="M217" s="3">
        <v>0</v>
      </c>
      <c r="N217" s="3">
        <v>4.9000000000000004</v>
      </c>
      <c r="O217" s="3">
        <f t="shared" si="14"/>
        <v>4.9000000000000004</v>
      </c>
      <c r="P217" s="3">
        <f t="shared" si="15"/>
        <v>0</v>
      </c>
      <c r="Q217" s="3">
        <v>836908.24</v>
      </c>
      <c r="R217" s="3">
        <v>141090.26</v>
      </c>
    </row>
    <row r="218" spans="1:18" ht="14.45">
      <c r="A218" s="3" t="s">
        <v>110</v>
      </c>
      <c r="B218" s="4">
        <v>45658</v>
      </c>
      <c r="C218" s="3" t="s">
        <v>54</v>
      </c>
      <c r="D218" s="3" t="s">
        <v>55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f t="shared" si="12"/>
        <v>3.27</v>
      </c>
      <c r="L218" s="3">
        <f t="shared" si="13"/>
        <v>0</v>
      </c>
      <c r="M218" s="3">
        <v>0</v>
      </c>
      <c r="N218" s="3">
        <v>3.3</v>
      </c>
      <c r="O218" s="3">
        <f t="shared" si="14"/>
        <v>3.3</v>
      </c>
      <c r="P218" s="3">
        <f t="shared" si="15"/>
        <v>0</v>
      </c>
      <c r="Q218" s="3">
        <v>674289.1</v>
      </c>
      <c r="R218" s="3">
        <v>117773.79</v>
      </c>
    </row>
    <row r="219" spans="1:18" ht="14.45">
      <c r="A219" s="3" t="s">
        <v>110</v>
      </c>
      <c r="B219" s="4">
        <v>45689</v>
      </c>
      <c r="C219" s="3" t="s">
        <v>54</v>
      </c>
      <c r="D219" s="3" t="s">
        <v>55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f t="shared" si="12"/>
        <v>10.34</v>
      </c>
      <c r="L219" s="3">
        <f t="shared" si="13"/>
        <v>0</v>
      </c>
      <c r="M219" s="3">
        <v>0</v>
      </c>
      <c r="N219" s="3">
        <v>3.9</v>
      </c>
      <c r="O219" s="3">
        <f t="shared" si="14"/>
        <v>3.9</v>
      </c>
      <c r="P219" s="3">
        <f t="shared" si="15"/>
        <v>0</v>
      </c>
      <c r="Q219" s="3">
        <v>622892.42000000004</v>
      </c>
      <c r="R219" s="3">
        <v>101032.52</v>
      </c>
    </row>
    <row r="220" spans="1:18" ht="14.45">
      <c r="A220" s="3" t="s">
        <v>110</v>
      </c>
      <c r="B220" s="4">
        <v>45717</v>
      </c>
      <c r="C220" s="3" t="s">
        <v>54</v>
      </c>
      <c r="D220" s="3" t="s">
        <v>55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f t="shared" si="12"/>
        <v>1.92</v>
      </c>
      <c r="L220" s="3">
        <f t="shared" si="13"/>
        <v>0</v>
      </c>
      <c r="M220" s="3">
        <v>0</v>
      </c>
      <c r="N220" s="3">
        <v>3.7</v>
      </c>
      <c r="O220" s="3">
        <f t="shared" si="14"/>
        <v>3.7</v>
      </c>
      <c r="P220" s="3">
        <f t="shared" si="15"/>
        <v>0</v>
      </c>
      <c r="Q220" s="3">
        <v>673348.56</v>
      </c>
      <c r="R220" s="3">
        <v>69464.59</v>
      </c>
    </row>
    <row r="221" spans="1:18" ht="14.45">
      <c r="A221" s="3" t="s">
        <v>110</v>
      </c>
      <c r="B221" s="4">
        <v>45748</v>
      </c>
      <c r="C221" s="3" t="s">
        <v>54</v>
      </c>
      <c r="D221" s="3" t="s">
        <v>55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f t="shared" si="12"/>
        <v>3.1</v>
      </c>
      <c r="L221" s="3">
        <f t="shared" si="13"/>
        <v>0</v>
      </c>
      <c r="M221" s="3">
        <v>0</v>
      </c>
      <c r="N221" s="3">
        <v>3.9</v>
      </c>
      <c r="O221" s="3">
        <f t="shared" si="14"/>
        <v>3.9</v>
      </c>
      <c r="P221" s="3">
        <f t="shared" si="15"/>
        <v>0</v>
      </c>
      <c r="Q221" s="3">
        <v>606278.30000000005</v>
      </c>
      <c r="R221" s="3">
        <v>102213.26</v>
      </c>
    </row>
    <row r="222" spans="1:18" ht="14.45">
      <c r="A222" s="3" t="s">
        <v>111</v>
      </c>
      <c r="B222" s="4">
        <v>45658</v>
      </c>
      <c r="C222" s="3" t="s">
        <v>49</v>
      </c>
      <c r="D222" s="3" t="s">
        <v>52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f t="shared" si="12"/>
        <v>6.34</v>
      </c>
      <c r="L222" s="3">
        <f t="shared" si="13"/>
        <v>0</v>
      </c>
      <c r="M222" s="3">
        <v>1</v>
      </c>
      <c r="N222" s="3">
        <v>3.8</v>
      </c>
      <c r="O222" s="3">
        <f t="shared" si="14"/>
        <v>3.8</v>
      </c>
      <c r="P222" s="3">
        <f t="shared" si="15"/>
        <v>0</v>
      </c>
      <c r="Q222" s="3">
        <v>712219.81</v>
      </c>
      <c r="R222" s="3">
        <v>85906.54</v>
      </c>
    </row>
    <row r="223" spans="1:18" ht="14.45">
      <c r="A223" s="3" t="s">
        <v>111</v>
      </c>
      <c r="B223" s="4">
        <v>45689</v>
      </c>
      <c r="C223" s="3" t="s">
        <v>49</v>
      </c>
      <c r="D223" s="3" t="s">
        <v>52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f t="shared" si="12"/>
        <v>1.2</v>
      </c>
      <c r="L223" s="3">
        <f t="shared" si="13"/>
        <v>0</v>
      </c>
      <c r="M223" s="3">
        <v>0</v>
      </c>
      <c r="N223" s="3">
        <v>3.4</v>
      </c>
      <c r="O223" s="3">
        <f t="shared" si="14"/>
        <v>3.4</v>
      </c>
      <c r="P223" s="3">
        <f t="shared" si="15"/>
        <v>0</v>
      </c>
      <c r="Q223" s="3">
        <v>672670.54</v>
      </c>
      <c r="R223" s="3">
        <v>132684.18</v>
      </c>
    </row>
    <row r="224" spans="1:18" ht="14.45">
      <c r="A224" s="3" t="s">
        <v>111</v>
      </c>
      <c r="B224" s="4">
        <v>45717</v>
      </c>
      <c r="C224" s="3" t="s">
        <v>49</v>
      </c>
      <c r="D224" s="3" t="s">
        <v>52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f t="shared" si="12"/>
        <v>4.5</v>
      </c>
      <c r="L224" s="3">
        <f t="shared" si="13"/>
        <v>0</v>
      </c>
      <c r="M224" s="3">
        <v>0</v>
      </c>
      <c r="N224" s="3">
        <v>3.3</v>
      </c>
      <c r="O224" s="3">
        <f t="shared" si="14"/>
        <v>3.3</v>
      </c>
      <c r="P224" s="3">
        <f t="shared" si="15"/>
        <v>0</v>
      </c>
      <c r="Q224" s="3">
        <v>732667.92</v>
      </c>
      <c r="R224" s="3">
        <v>128654.46</v>
      </c>
    </row>
    <row r="225" spans="1:18" ht="14.45">
      <c r="A225" s="3" t="s">
        <v>111</v>
      </c>
      <c r="B225" s="4">
        <v>45748</v>
      </c>
      <c r="C225" s="3" t="s">
        <v>49</v>
      </c>
      <c r="D225" s="3" t="s">
        <v>52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f t="shared" si="12"/>
        <v>6.68</v>
      </c>
      <c r="L225" s="3">
        <f t="shared" si="13"/>
        <v>0</v>
      </c>
      <c r="M225" s="3">
        <v>0</v>
      </c>
      <c r="N225" s="3">
        <v>3.6</v>
      </c>
      <c r="O225" s="3">
        <f t="shared" si="14"/>
        <v>3.6</v>
      </c>
      <c r="P225" s="3">
        <f t="shared" si="15"/>
        <v>0</v>
      </c>
      <c r="Q225" s="3">
        <v>723531.4</v>
      </c>
      <c r="R225" s="3">
        <v>108794.85</v>
      </c>
    </row>
    <row r="226" spans="1:18" ht="14.45">
      <c r="A226" s="3" t="s">
        <v>112</v>
      </c>
      <c r="B226" s="4">
        <v>45658</v>
      </c>
      <c r="C226" s="3" t="s">
        <v>49</v>
      </c>
      <c r="D226" s="3" t="s">
        <v>62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f t="shared" si="12"/>
        <v>4.07</v>
      </c>
      <c r="L226" s="3">
        <f t="shared" si="13"/>
        <v>0</v>
      </c>
      <c r="M226" s="3">
        <v>1</v>
      </c>
      <c r="N226" s="3">
        <v>3</v>
      </c>
      <c r="O226" s="3">
        <f t="shared" si="14"/>
        <v>3</v>
      </c>
      <c r="P226" s="3">
        <f t="shared" si="15"/>
        <v>0</v>
      </c>
      <c r="Q226" s="3">
        <v>641564.6</v>
      </c>
      <c r="R226" s="3">
        <v>90468.96</v>
      </c>
    </row>
    <row r="227" spans="1:18" ht="14.45">
      <c r="A227" s="3" t="s">
        <v>112</v>
      </c>
      <c r="B227" s="4">
        <v>45689</v>
      </c>
      <c r="C227" s="3" t="s">
        <v>49</v>
      </c>
      <c r="D227" s="3" t="s">
        <v>62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f t="shared" si="12"/>
        <v>5.45</v>
      </c>
      <c r="L227" s="3">
        <f t="shared" si="13"/>
        <v>0</v>
      </c>
      <c r="M227" s="3">
        <v>0</v>
      </c>
      <c r="N227" s="3">
        <v>3.4</v>
      </c>
      <c r="O227" s="3">
        <f t="shared" si="14"/>
        <v>3.4</v>
      </c>
      <c r="P227" s="3">
        <f t="shared" si="15"/>
        <v>0</v>
      </c>
      <c r="Q227" s="3">
        <v>536545.49</v>
      </c>
      <c r="R227" s="3">
        <v>97917.45</v>
      </c>
    </row>
    <row r="228" spans="1:18" ht="14.45">
      <c r="A228" s="3" t="s">
        <v>112</v>
      </c>
      <c r="B228" s="4">
        <v>45717</v>
      </c>
      <c r="C228" s="3" t="s">
        <v>49</v>
      </c>
      <c r="D228" s="3" t="s">
        <v>62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f t="shared" si="12"/>
        <v>15.58</v>
      </c>
      <c r="L228" s="3">
        <f t="shared" si="13"/>
        <v>0</v>
      </c>
      <c r="M228" s="3">
        <v>0</v>
      </c>
      <c r="N228" s="3">
        <v>3.3</v>
      </c>
      <c r="O228" s="3">
        <f t="shared" si="14"/>
        <v>3.3</v>
      </c>
      <c r="P228" s="3">
        <f t="shared" si="15"/>
        <v>0</v>
      </c>
      <c r="Q228" s="3">
        <v>527681.56000000006</v>
      </c>
      <c r="R228" s="3">
        <v>63153.05</v>
      </c>
    </row>
    <row r="229" spans="1:18" ht="14.45">
      <c r="A229" s="3" t="s">
        <v>112</v>
      </c>
      <c r="B229" s="4">
        <v>45748</v>
      </c>
      <c r="C229" s="3" t="s">
        <v>49</v>
      </c>
      <c r="D229" s="3" t="s">
        <v>62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f t="shared" si="12"/>
        <v>5.32</v>
      </c>
      <c r="L229" s="3">
        <f t="shared" si="13"/>
        <v>0</v>
      </c>
      <c r="M229" s="3">
        <v>0</v>
      </c>
      <c r="N229" s="3"/>
      <c r="O229" s="3">
        <f t="shared" si="14"/>
        <v>3.9</v>
      </c>
      <c r="P229" s="3">
        <f t="shared" si="15"/>
        <v>1</v>
      </c>
      <c r="Q229" s="3">
        <v>529598.93999999994</v>
      </c>
      <c r="R229" s="3">
        <v>84334.33</v>
      </c>
    </row>
    <row r="230" spans="1:18" ht="14.45">
      <c r="A230" s="3" t="s">
        <v>113</v>
      </c>
      <c r="B230" s="4">
        <v>45658</v>
      </c>
      <c r="C230" s="3" t="s">
        <v>49</v>
      </c>
      <c r="D230" s="3" t="s">
        <v>52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f t="shared" si="12"/>
        <v>0.37</v>
      </c>
      <c r="L230" s="3">
        <f t="shared" si="13"/>
        <v>0</v>
      </c>
      <c r="M230" s="3">
        <v>0</v>
      </c>
      <c r="N230" s="3">
        <v>3.8</v>
      </c>
      <c r="O230" s="3">
        <f t="shared" si="14"/>
        <v>3.8</v>
      </c>
      <c r="P230" s="3">
        <f t="shared" si="15"/>
        <v>0</v>
      </c>
      <c r="Q230" s="3">
        <v>570963.31000000006</v>
      </c>
      <c r="R230" s="3">
        <v>87342.25</v>
      </c>
    </row>
    <row r="231" spans="1:18" ht="14.45">
      <c r="A231" s="3" t="s">
        <v>113</v>
      </c>
      <c r="B231" s="4">
        <v>45689</v>
      </c>
      <c r="C231" s="3" t="s">
        <v>49</v>
      </c>
      <c r="D231" s="3" t="s">
        <v>52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f t="shared" si="12"/>
        <v>21.63</v>
      </c>
      <c r="L231" s="3">
        <f t="shared" si="13"/>
        <v>0</v>
      </c>
      <c r="M231" s="3">
        <v>0</v>
      </c>
      <c r="N231" s="3">
        <v>4</v>
      </c>
      <c r="O231" s="3">
        <f t="shared" si="14"/>
        <v>4</v>
      </c>
      <c r="P231" s="3">
        <f t="shared" si="15"/>
        <v>0</v>
      </c>
      <c r="Q231" s="3">
        <v>870937.4</v>
      </c>
      <c r="R231" s="3">
        <v>175282.74</v>
      </c>
    </row>
    <row r="232" spans="1:18" ht="14.45">
      <c r="A232" s="3" t="s">
        <v>113</v>
      </c>
      <c r="B232" s="4">
        <v>45717</v>
      </c>
      <c r="C232" s="3" t="s">
        <v>49</v>
      </c>
      <c r="D232" s="3" t="s">
        <v>52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f t="shared" si="12"/>
        <v>2.48</v>
      </c>
      <c r="L232" s="3">
        <f t="shared" si="13"/>
        <v>0</v>
      </c>
      <c r="M232" s="3">
        <v>0</v>
      </c>
      <c r="N232" s="3">
        <v>3.9</v>
      </c>
      <c r="O232" s="3">
        <f t="shared" si="14"/>
        <v>3.9</v>
      </c>
      <c r="P232" s="3">
        <f t="shared" si="15"/>
        <v>0</v>
      </c>
      <c r="Q232" s="3">
        <v>596969.27</v>
      </c>
      <c r="R232" s="3">
        <v>105669.51</v>
      </c>
    </row>
    <row r="233" spans="1:18" ht="14.45">
      <c r="A233" s="3" t="s">
        <v>113</v>
      </c>
      <c r="B233" s="4">
        <v>45748</v>
      </c>
      <c r="C233" s="3" t="s">
        <v>49</v>
      </c>
      <c r="D233" s="3" t="s">
        <v>52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f t="shared" si="12"/>
        <v>3.3650000000000002</v>
      </c>
      <c r="L233" s="3">
        <f t="shared" si="13"/>
        <v>1</v>
      </c>
      <c r="M233" s="3">
        <v>0</v>
      </c>
      <c r="N233" s="3">
        <v>3.7</v>
      </c>
      <c r="O233" s="3">
        <f t="shared" si="14"/>
        <v>3.7</v>
      </c>
      <c r="P233" s="3">
        <f t="shared" si="15"/>
        <v>0</v>
      </c>
      <c r="Q233" s="3">
        <v>647512.85</v>
      </c>
      <c r="R233" s="3">
        <v>153835.57</v>
      </c>
    </row>
    <row r="234" spans="1:18" ht="14.45">
      <c r="A234" s="3" t="s">
        <v>114</v>
      </c>
      <c r="B234" s="4">
        <v>45658</v>
      </c>
      <c r="C234" s="3" t="s">
        <v>61</v>
      </c>
      <c r="D234" s="3" t="s">
        <v>50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f t="shared" si="12"/>
        <v>0.85</v>
      </c>
      <c r="L234" s="3">
        <f t="shared" si="13"/>
        <v>0</v>
      </c>
      <c r="M234" s="3">
        <v>0</v>
      </c>
      <c r="N234" s="3">
        <v>4.3</v>
      </c>
      <c r="O234" s="3">
        <f t="shared" si="14"/>
        <v>4.3</v>
      </c>
      <c r="P234" s="3">
        <f t="shared" si="15"/>
        <v>0</v>
      </c>
      <c r="Q234" s="3">
        <v>658072.14</v>
      </c>
      <c r="R234" s="3">
        <v>110595.89</v>
      </c>
    </row>
    <row r="235" spans="1:18" ht="14.45">
      <c r="A235" s="3" t="s">
        <v>114</v>
      </c>
      <c r="B235" s="4">
        <v>45689</v>
      </c>
      <c r="C235" s="3" t="s">
        <v>61</v>
      </c>
      <c r="D235" s="3" t="s">
        <v>50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f t="shared" si="12"/>
        <v>2.13</v>
      </c>
      <c r="L235" s="3">
        <f t="shared" si="13"/>
        <v>0</v>
      </c>
      <c r="M235" s="3">
        <v>0</v>
      </c>
      <c r="N235" s="3">
        <v>4</v>
      </c>
      <c r="O235" s="3">
        <f t="shared" si="14"/>
        <v>4</v>
      </c>
      <c r="P235" s="3">
        <f t="shared" si="15"/>
        <v>0</v>
      </c>
      <c r="Q235" s="3">
        <v>723305.11</v>
      </c>
      <c r="R235" s="3">
        <v>128468.7</v>
      </c>
    </row>
    <row r="236" spans="1:18" ht="14.45">
      <c r="A236" s="3" t="s">
        <v>114</v>
      </c>
      <c r="B236" s="4">
        <v>45717</v>
      </c>
      <c r="C236" s="3" t="s">
        <v>61</v>
      </c>
      <c r="D236" s="3" t="s">
        <v>50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f t="shared" si="12"/>
        <v>1.46</v>
      </c>
      <c r="L236" s="3">
        <f t="shared" si="13"/>
        <v>0</v>
      </c>
      <c r="M236" s="3">
        <v>0</v>
      </c>
      <c r="N236" s="3">
        <v>4.5</v>
      </c>
      <c r="O236" s="3">
        <f t="shared" si="14"/>
        <v>4.5</v>
      </c>
      <c r="P236" s="3">
        <f t="shared" si="15"/>
        <v>0</v>
      </c>
      <c r="Q236" s="3">
        <v>640666.53</v>
      </c>
      <c r="R236" s="3">
        <v>134919.16</v>
      </c>
    </row>
    <row r="237" spans="1:18" ht="14.45">
      <c r="A237" s="3" t="s">
        <v>114</v>
      </c>
      <c r="B237" s="4">
        <v>45748</v>
      </c>
      <c r="C237" s="3" t="s">
        <v>61</v>
      </c>
      <c r="D237" s="3" t="s">
        <v>50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f t="shared" si="12"/>
        <v>3.02</v>
      </c>
      <c r="L237" s="3">
        <f t="shared" si="13"/>
        <v>0</v>
      </c>
      <c r="M237" s="3">
        <v>0</v>
      </c>
      <c r="N237" s="3">
        <v>4.0999999999999996</v>
      </c>
      <c r="O237" s="3">
        <f t="shared" si="14"/>
        <v>4.0999999999999996</v>
      </c>
      <c r="P237" s="3">
        <f t="shared" si="15"/>
        <v>0</v>
      </c>
      <c r="Q237" s="3">
        <v>670629.48</v>
      </c>
      <c r="R237" s="3">
        <v>100140.8</v>
      </c>
    </row>
    <row r="238" spans="1:18" ht="14.45">
      <c r="A238" s="3" t="s">
        <v>115</v>
      </c>
      <c r="B238" s="4">
        <v>45658</v>
      </c>
      <c r="C238" s="3" t="s">
        <v>61</v>
      </c>
      <c r="D238" s="3" t="s">
        <v>62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f t="shared" si="12"/>
        <v>3.22</v>
      </c>
      <c r="L238" s="3">
        <f t="shared" si="13"/>
        <v>0</v>
      </c>
      <c r="M238" s="3">
        <v>0</v>
      </c>
      <c r="N238" s="3">
        <v>3.7</v>
      </c>
      <c r="O238" s="3">
        <f t="shared" si="14"/>
        <v>3.7</v>
      </c>
      <c r="P238" s="3">
        <f t="shared" si="15"/>
        <v>0</v>
      </c>
      <c r="Q238" s="3">
        <v>721079.35</v>
      </c>
      <c r="R238" s="3">
        <v>115295.05</v>
      </c>
    </row>
    <row r="239" spans="1:18" ht="14.45">
      <c r="A239" s="3" t="s">
        <v>115</v>
      </c>
      <c r="B239" s="4">
        <v>45689</v>
      </c>
      <c r="C239" s="3" t="s">
        <v>61</v>
      </c>
      <c r="D239" s="3" t="s">
        <v>62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f t="shared" si="12"/>
        <v>15.66</v>
      </c>
      <c r="L239" s="3">
        <f t="shared" si="13"/>
        <v>0</v>
      </c>
      <c r="M239" s="3">
        <v>0</v>
      </c>
      <c r="N239" s="3">
        <v>3.4</v>
      </c>
      <c r="O239" s="3">
        <f t="shared" si="14"/>
        <v>3.4</v>
      </c>
      <c r="P239" s="3">
        <f t="shared" si="15"/>
        <v>0</v>
      </c>
      <c r="Q239" s="3">
        <v>810355.02</v>
      </c>
      <c r="R239" s="3">
        <v>131510</v>
      </c>
    </row>
    <row r="240" spans="1:18" ht="14.45">
      <c r="A240" s="3" t="s">
        <v>115</v>
      </c>
      <c r="B240" s="4">
        <v>45717</v>
      </c>
      <c r="C240" s="3" t="s">
        <v>61</v>
      </c>
      <c r="D240" s="3" t="s">
        <v>62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f t="shared" si="12"/>
        <v>6.96</v>
      </c>
      <c r="L240" s="3">
        <f t="shared" si="13"/>
        <v>0</v>
      </c>
      <c r="M240" s="3">
        <v>0</v>
      </c>
      <c r="N240" s="3">
        <v>3.2</v>
      </c>
      <c r="O240" s="3">
        <f t="shared" si="14"/>
        <v>3.2</v>
      </c>
      <c r="P240" s="3">
        <f t="shared" si="15"/>
        <v>0</v>
      </c>
      <c r="Q240" s="3">
        <v>761919.25</v>
      </c>
      <c r="R240" s="3">
        <v>111893.06</v>
      </c>
    </row>
    <row r="241" spans="1:18" ht="14.45">
      <c r="A241" s="3" t="s">
        <v>115</v>
      </c>
      <c r="B241" s="4">
        <v>45748</v>
      </c>
      <c r="C241" s="3" t="s">
        <v>61</v>
      </c>
      <c r="D241" s="3" t="s">
        <v>62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f t="shared" si="12"/>
        <v>4.62</v>
      </c>
      <c r="L241" s="3">
        <f t="shared" si="13"/>
        <v>0</v>
      </c>
      <c r="M241" s="3">
        <v>0</v>
      </c>
      <c r="N241" s="3">
        <v>3.3</v>
      </c>
      <c r="O241" s="3">
        <f t="shared" si="14"/>
        <v>3.3</v>
      </c>
      <c r="P241" s="3">
        <f t="shared" si="15"/>
        <v>0</v>
      </c>
      <c r="Q241" s="3">
        <v>737070.18</v>
      </c>
      <c r="R241" s="3">
        <v>117593.97</v>
      </c>
    </row>
    <row r="242" spans="1:18" ht="14.45">
      <c r="A242" s="3" t="s">
        <v>116</v>
      </c>
      <c r="B242" s="4">
        <v>45658</v>
      </c>
      <c r="C242" s="3" t="s">
        <v>58</v>
      </c>
      <c r="D242" s="3" t="s">
        <v>55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f t="shared" si="12"/>
        <v>10.68</v>
      </c>
      <c r="L242" s="3">
        <f t="shared" si="13"/>
        <v>0</v>
      </c>
      <c r="M242" s="3">
        <v>1</v>
      </c>
      <c r="N242" s="3">
        <v>2.9</v>
      </c>
      <c r="O242" s="3">
        <f t="shared" si="14"/>
        <v>2.9</v>
      </c>
      <c r="P242" s="3">
        <f t="shared" si="15"/>
        <v>0</v>
      </c>
      <c r="Q242" s="3">
        <v>776992.93</v>
      </c>
      <c r="R242" s="3">
        <v>101598.32</v>
      </c>
    </row>
    <row r="243" spans="1:18" ht="14.45">
      <c r="A243" s="3" t="s">
        <v>116</v>
      </c>
      <c r="B243" s="4">
        <v>45689</v>
      </c>
      <c r="C243" s="3" t="s">
        <v>58</v>
      </c>
      <c r="D243" s="3" t="s">
        <v>55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f t="shared" si="12"/>
        <v>4.04</v>
      </c>
      <c r="L243" s="3">
        <f t="shared" si="13"/>
        <v>0</v>
      </c>
      <c r="M243" s="3">
        <v>0</v>
      </c>
      <c r="N243" s="3">
        <v>3.7</v>
      </c>
      <c r="O243" s="3">
        <f t="shared" si="14"/>
        <v>3.7</v>
      </c>
      <c r="P243" s="3">
        <f t="shared" si="15"/>
        <v>0</v>
      </c>
      <c r="Q243" s="3">
        <v>676337.41</v>
      </c>
      <c r="R243" s="3">
        <v>104355.77</v>
      </c>
    </row>
    <row r="244" spans="1:18" ht="14.45">
      <c r="A244" s="3" t="s">
        <v>116</v>
      </c>
      <c r="B244" s="4">
        <v>45717</v>
      </c>
      <c r="C244" s="3" t="s">
        <v>58</v>
      </c>
      <c r="D244" s="3" t="s">
        <v>55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f t="shared" si="12"/>
        <v>1.87</v>
      </c>
      <c r="L244" s="3">
        <f t="shared" si="13"/>
        <v>0</v>
      </c>
      <c r="M244" s="3">
        <v>0</v>
      </c>
      <c r="N244" s="3">
        <v>3.5</v>
      </c>
      <c r="O244" s="3">
        <f t="shared" si="14"/>
        <v>3.5</v>
      </c>
      <c r="P244" s="3">
        <f t="shared" si="15"/>
        <v>0</v>
      </c>
      <c r="Q244" s="3">
        <v>828219.67</v>
      </c>
      <c r="R244" s="3">
        <v>179806.87</v>
      </c>
    </row>
    <row r="245" spans="1:18" ht="14.45">
      <c r="A245" s="3" t="s">
        <v>116</v>
      </c>
      <c r="B245" s="4">
        <v>45748</v>
      </c>
      <c r="C245" s="3" t="s">
        <v>58</v>
      </c>
      <c r="D245" s="3" t="s">
        <v>55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f t="shared" si="12"/>
        <v>2.83</v>
      </c>
      <c r="L245" s="3">
        <f t="shared" si="13"/>
        <v>0</v>
      </c>
      <c r="M245" s="3">
        <v>0</v>
      </c>
      <c r="N245" s="3">
        <v>3</v>
      </c>
      <c r="O245" s="3">
        <f t="shared" si="14"/>
        <v>3</v>
      </c>
      <c r="P245" s="3">
        <f t="shared" si="15"/>
        <v>0</v>
      </c>
      <c r="Q245" s="3">
        <v>763159.92</v>
      </c>
      <c r="R245" s="3">
        <v>177104.87</v>
      </c>
    </row>
    <row r="246" spans="1:18" ht="14.45">
      <c r="A246" s="3" t="s">
        <v>117</v>
      </c>
      <c r="B246" s="4">
        <v>45658</v>
      </c>
      <c r="C246" s="3" t="s">
        <v>49</v>
      </c>
      <c r="D246" s="3" t="s">
        <v>52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f t="shared" si="12"/>
        <v>0.95</v>
      </c>
      <c r="L246" s="3">
        <f t="shared" si="13"/>
        <v>0</v>
      </c>
      <c r="M246" s="3">
        <v>0</v>
      </c>
      <c r="N246" s="3">
        <v>3.2</v>
      </c>
      <c r="O246" s="3">
        <f t="shared" si="14"/>
        <v>3.2</v>
      </c>
      <c r="P246" s="3">
        <f t="shared" si="15"/>
        <v>0</v>
      </c>
      <c r="Q246" s="3">
        <v>802001.68</v>
      </c>
      <c r="R246" s="3">
        <v>159715.82</v>
      </c>
    </row>
    <row r="247" spans="1:18" ht="14.45">
      <c r="A247" s="3" t="s">
        <v>117</v>
      </c>
      <c r="B247" s="4">
        <v>45689</v>
      </c>
      <c r="C247" s="3" t="s">
        <v>49</v>
      </c>
      <c r="D247" s="3" t="s">
        <v>52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f t="shared" si="12"/>
        <v>0.8</v>
      </c>
      <c r="L247" s="3">
        <f t="shared" si="13"/>
        <v>0</v>
      </c>
      <c r="M247" s="3">
        <v>0</v>
      </c>
      <c r="N247" s="3">
        <v>3.4</v>
      </c>
      <c r="O247" s="3">
        <f t="shared" si="14"/>
        <v>3.4</v>
      </c>
      <c r="P247" s="3">
        <f t="shared" si="15"/>
        <v>0</v>
      </c>
      <c r="Q247" s="3">
        <v>750471.34</v>
      </c>
      <c r="R247" s="3">
        <v>133788.04</v>
      </c>
    </row>
    <row r="248" spans="1:18" ht="14.45">
      <c r="A248" s="3" t="s">
        <v>117</v>
      </c>
      <c r="B248" s="4">
        <v>45717</v>
      </c>
      <c r="C248" s="3" t="s">
        <v>49</v>
      </c>
      <c r="D248" s="3" t="s">
        <v>52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f t="shared" si="12"/>
        <v>0.2</v>
      </c>
      <c r="L248" s="3">
        <f t="shared" si="13"/>
        <v>0</v>
      </c>
      <c r="M248" s="3">
        <v>0</v>
      </c>
      <c r="N248" s="3">
        <v>3.1</v>
      </c>
      <c r="O248" s="3">
        <f t="shared" si="14"/>
        <v>3.1</v>
      </c>
      <c r="P248" s="3">
        <f t="shared" si="15"/>
        <v>0</v>
      </c>
      <c r="Q248" s="3">
        <v>679230.86</v>
      </c>
      <c r="R248" s="3">
        <v>106927.58</v>
      </c>
    </row>
    <row r="249" spans="1:18" ht="14.45">
      <c r="A249" s="3" t="s">
        <v>117</v>
      </c>
      <c r="B249" s="4">
        <v>45748</v>
      </c>
      <c r="C249" s="3" t="s">
        <v>49</v>
      </c>
      <c r="D249" s="3" t="s">
        <v>52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f t="shared" si="12"/>
        <v>1.7</v>
      </c>
      <c r="L249" s="3">
        <f t="shared" si="13"/>
        <v>0</v>
      </c>
      <c r="M249" s="3">
        <v>0</v>
      </c>
      <c r="N249" s="3">
        <v>3.3</v>
      </c>
      <c r="O249" s="3">
        <f t="shared" si="14"/>
        <v>3.3</v>
      </c>
      <c r="P249" s="3">
        <f t="shared" si="15"/>
        <v>0</v>
      </c>
      <c r="Q249" s="3">
        <v>679888.74</v>
      </c>
      <c r="R249" s="3">
        <v>83406.89</v>
      </c>
    </row>
    <row r="250" spans="1:18" ht="14.45">
      <c r="A250" s="3" t="s">
        <v>118</v>
      </c>
      <c r="B250" s="4">
        <v>45658</v>
      </c>
      <c r="C250" s="3" t="s">
        <v>54</v>
      </c>
      <c r="D250" s="3" t="s">
        <v>52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f t="shared" si="12"/>
        <v>3.3650000000000002</v>
      </c>
      <c r="L250" s="3">
        <f t="shared" si="13"/>
        <v>1</v>
      </c>
      <c r="M250" s="3">
        <v>0</v>
      </c>
      <c r="N250" s="3">
        <v>3.8</v>
      </c>
      <c r="O250" s="3">
        <f t="shared" si="14"/>
        <v>3.8</v>
      </c>
      <c r="P250" s="3">
        <f t="shared" si="15"/>
        <v>0</v>
      </c>
      <c r="Q250" s="3">
        <v>606783.67000000004</v>
      </c>
      <c r="R250" s="3">
        <v>74515.87</v>
      </c>
    </row>
    <row r="251" spans="1:18" ht="14.45">
      <c r="A251" s="3" t="s">
        <v>118</v>
      </c>
      <c r="B251" s="4">
        <v>45689</v>
      </c>
      <c r="C251" s="3" t="s">
        <v>54</v>
      </c>
      <c r="D251" s="3" t="s">
        <v>52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f t="shared" si="12"/>
        <v>5.0999999999999996</v>
      </c>
      <c r="L251" s="3">
        <f t="shared" si="13"/>
        <v>0</v>
      </c>
      <c r="M251" s="3">
        <v>0</v>
      </c>
      <c r="N251" s="3">
        <v>3.6</v>
      </c>
      <c r="O251" s="3">
        <f t="shared" si="14"/>
        <v>3.6</v>
      </c>
      <c r="P251" s="3">
        <f t="shared" si="15"/>
        <v>0</v>
      </c>
      <c r="Q251" s="3">
        <v>642751.42000000004</v>
      </c>
      <c r="R251" s="3">
        <v>131942.15</v>
      </c>
    </row>
    <row r="252" spans="1:18" ht="14.45">
      <c r="A252" s="3" t="s">
        <v>118</v>
      </c>
      <c r="B252" s="4">
        <v>45717</v>
      </c>
      <c r="C252" s="3" t="s">
        <v>54</v>
      </c>
      <c r="D252" s="3" t="s">
        <v>52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f t="shared" si="12"/>
        <v>0.83</v>
      </c>
      <c r="L252" s="3">
        <f t="shared" si="13"/>
        <v>0</v>
      </c>
      <c r="M252" s="3">
        <v>0</v>
      </c>
      <c r="N252" s="3">
        <v>4</v>
      </c>
      <c r="O252" s="3">
        <f t="shared" si="14"/>
        <v>4</v>
      </c>
      <c r="P252" s="3">
        <f t="shared" si="15"/>
        <v>0</v>
      </c>
      <c r="Q252" s="3">
        <v>647953.78</v>
      </c>
      <c r="R252" s="3">
        <v>118497.43</v>
      </c>
    </row>
    <row r="253" spans="1:18" ht="14.45">
      <c r="A253" s="3" t="s">
        <v>118</v>
      </c>
      <c r="B253" s="4">
        <v>45748</v>
      </c>
      <c r="C253" s="3" t="s">
        <v>54</v>
      </c>
      <c r="D253" s="3" t="s">
        <v>52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f t="shared" si="12"/>
        <v>1.1399999999999999</v>
      </c>
      <c r="L253" s="3">
        <f t="shared" si="13"/>
        <v>0</v>
      </c>
      <c r="M253" s="3">
        <v>0</v>
      </c>
      <c r="N253" s="3">
        <v>4</v>
      </c>
      <c r="O253" s="3">
        <f t="shared" si="14"/>
        <v>4</v>
      </c>
      <c r="P253" s="3">
        <f t="shared" si="15"/>
        <v>0</v>
      </c>
      <c r="Q253" s="3">
        <v>729440.45</v>
      </c>
      <c r="R253" s="3">
        <v>87614.29</v>
      </c>
    </row>
    <row r="254" spans="1:18" ht="14.45">
      <c r="A254" s="3" t="s">
        <v>119</v>
      </c>
      <c r="B254" s="4">
        <v>45658</v>
      </c>
      <c r="C254" s="3" t="s">
        <v>58</v>
      </c>
      <c r="D254" s="3" t="s">
        <v>55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f t="shared" si="12"/>
        <v>9.5399999999999991</v>
      </c>
      <c r="L254" s="3">
        <f t="shared" si="13"/>
        <v>0</v>
      </c>
      <c r="M254" s="3">
        <v>0</v>
      </c>
      <c r="N254" s="3">
        <v>3.7</v>
      </c>
      <c r="O254" s="3">
        <f t="shared" si="14"/>
        <v>3.7</v>
      </c>
      <c r="P254" s="3">
        <f t="shared" si="15"/>
        <v>0</v>
      </c>
      <c r="Q254" s="3">
        <v>764949</v>
      </c>
      <c r="R254" s="3">
        <v>148322.43</v>
      </c>
    </row>
    <row r="255" spans="1:18" ht="14.45">
      <c r="A255" s="3" t="s">
        <v>119</v>
      </c>
      <c r="B255" s="4">
        <v>45689</v>
      </c>
      <c r="C255" s="3" t="s">
        <v>58</v>
      </c>
      <c r="D255" s="3" t="s">
        <v>55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f t="shared" si="12"/>
        <v>5.48</v>
      </c>
      <c r="L255" s="3">
        <f t="shared" si="13"/>
        <v>0</v>
      </c>
      <c r="M255" s="3">
        <v>0</v>
      </c>
      <c r="N255" s="3">
        <v>3.2</v>
      </c>
      <c r="O255" s="3">
        <f t="shared" si="14"/>
        <v>3.2</v>
      </c>
      <c r="P255" s="3">
        <f t="shared" si="15"/>
        <v>0</v>
      </c>
      <c r="Q255" s="3">
        <v>799046.94</v>
      </c>
      <c r="R255" s="3">
        <v>144553.64000000001</v>
      </c>
    </row>
    <row r="256" spans="1:18" ht="14.45">
      <c r="A256" s="3" t="s">
        <v>119</v>
      </c>
      <c r="B256" s="4">
        <v>45717</v>
      </c>
      <c r="C256" s="3" t="s">
        <v>58</v>
      </c>
      <c r="D256" s="3" t="s">
        <v>55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f t="shared" si="12"/>
        <v>0.84</v>
      </c>
      <c r="L256" s="3">
        <f t="shared" si="13"/>
        <v>0</v>
      </c>
      <c r="M256" s="3">
        <v>0</v>
      </c>
      <c r="N256" s="3">
        <v>3.6</v>
      </c>
      <c r="O256" s="3">
        <f t="shared" si="14"/>
        <v>3.6</v>
      </c>
      <c r="P256" s="3">
        <f t="shared" si="15"/>
        <v>0</v>
      </c>
      <c r="Q256" s="3">
        <v>720079.54</v>
      </c>
      <c r="R256" s="3">
        <v>119499.47</v>
      </c>
    </row>
    <row r="257" spans="1:18" ht="14.45">
      <c r="A257" s="3" t="s">
        <v>119</v>
      </c>
      <c r="B257" s="4">
        <v>45748</v>
      </c>
      <c r="C257" s="3" t="s">
        <v>58</v>
      </c>
      <c r="D257" s="3" t="s">
        <v>55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f t="shared" si="12"/>
        <v>4.1900000000000004</v>
      </c>
      <c r="L257" s="3">
        <f t="shared" si="13"/>
        <v>0</v>
      </c>
      <c r="M257" s="3">
        <v>0</v>
      </c>
      <c r="N257" s="3">
        <v>4.0999999999999996</v>
      </c>
      <c r="O257" s="3">
        <f t="shared" si="14"/>
        <v>4.0999999999999996</v>
      </c>
      <c r="P257" s="3">
        <f t="shared" si="15"/>
        <v>0</v>
      </c>
      <c r="Q257" s="3">
        <v>612390.14</v>
      </c>
      <c r="R257" s="3">
        <v>108985.74</v>
      </c>
    </row>
    <row r="258" spans="1:18" ht="14.45">
      <c r="A258" s="3" t="s">
        <v>120</v>
      </c>
      <c r="B258" s="4">
        <v>45658</v>
      </c>
      <c r="C258" s="3" t="s">
        <v>58</v>
      </c>
      <c r="D258" s="3" t="s">
        <v>62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f t="shared" si="12"/>
        <v>1.26</v>
      </c>
      <c r="L258" s="3">
        <f t="shared" si="13"/>
        <v>0</v>
      </c>
      <c r="M258" s="3">
        <v>1</v>
      </c>
      <c r="N258" s="3">
        <v>4.3</v>
      </c>
      <c r="O258" s="3">
        <f t="shared" si="14"/>
        <v>4.3</v>
      </c>
      <c r="P258" s="3">
        <f t="shared" si="15"/>
        <v>0</v>
      </c>
      <c r="Q258" s="3">
        <v>840108.12</v>
      </c>
      <c r="R258" s="3">
        <v>126587.01</v>
      </c>
    </row>
    <row r="259" spans="1:18" ht="14.45">
      <c r="A259" s="3" t="s">
        <v>120</v>
      </c>
      <c r="B259" s="4">
        <v>45689</v>
      </c>
      <c r="C259" s="3" t="s">
        <v>58</v>
      </c>
      <c r="D259" s="3" t="s">
        <v>62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f t="shared" ref="K259:K321" si="16">IF(ISBLANK(J259),MEDIAN($J$2:$J$321),J259)</f>
        <v>2.74</v>
      </c>
      <c r="L259" s="3">
        <f t="shared" ref="L259:L321" si="17">IF(ISBLANK(J259),1,0)</f>
        <v>0</v>
      </c>
      <c r="M259" s="3">
        <v>0</v>
      </c>
      <c r="N259" s="3">
        <v>4.5999999999999996</v>
      </c>
      <c r="O259" s="3">
        <f t="shared" ref="O259:O321" si="18">IF(ISBLANK(N259),MEDIAN($N$2:$N$321),N259)</f>
        <v>4.5999999999999996</v>
      </c>
      <c r="P259" s="3">
        <f t="shared" ref="P259:P321" si="19">IF(ISBLANK(N259),1,0)</f>
        <v>0</v>
      </c>
      <c r="Q259" s="3">
        <v>697888.09</v>
      </c>
      <c r="R259" s="3">
        <v>116249.87</v>
      </c>
    </row>
    <row r="260" spans="1:18" ht="14.45">
      <c r="A260" s="3" t="s">
        <v>120</v>
      </c>
      <c r="B260" s="4">
        <v>45717</v>
      </c>
      <c r="C260" s="3" t="s">
        <v>58</v>
      </c>
      <c r="D260" s="3" t="s">
        <v>62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f t="shared" si="16"/>
        <v>3.69</v>
      </c>
      <c r="L260" s="3">
        <f t="shared" si="17"/>
        <v>0</v>
      </c>
      <c r="M260" s="3">
        <v>0</v>
      </c>
      <c r="N260" s="3">
        <v>4.4000000000000004</v>
      </c>
      <c r="O260" s="3">
        <f t="shared" si="18"/>
        <v>4.4000000000000004</v>
      </c>
      <c r="P260" s="3">
        <f t="shared" si="19"/>
        <v>0</v>
      </c>
      <c r="Q260" s="3">
        <v>746115.59</v>
      </c>
      <c r="R260" s="3">
        <v>94662.96</v>
      </c>
    </row>
    <row r="261" spans="1:18" ht="14.45">
      <c r="A261" s="3" t="s">
        <v>120</v>
      </c>
      <c r="B261" s="4">
        <v>45748</v>
      </c>
      <c r="C261" s="3" t="s">
        <v>58</v>
      </c>
      <c r="D261" s="3" t="s">
        <v>62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f t="shared" si="16"/>
        <v>1.82</v>
      </c>
      <c r="L261" s="3">
        <f t="shared" si="17"/>
        <v>0</v>
      </c>
      <c r="M261" s="3">
        <v>0</v>
      </c>
      <c r="N261" s="3">
        <v>3.6</v>
      </c>
      <c r="O261" s="3">
        <f t="shared" si="18"/>
        <v>3.6</v>
      </c>
      <c r="P261" s="3">
        <f t="shared" si="19"/>
        <v>0</v>
      </c>
      <c r="Q261" s="3">
        <v>776110.32</v>
      </c>
      <c r="R261" s="3">
        <v>139676.21</v>
      </c>
    </row>
    <row r="262" spans="1:18" ht="14.45">
      <c r="A262" s="3" t="s">
        <v>121</v>
      </c>
      <c r="B262" s="4">
        <v>45658</v>
      </c>
      <c r="C262" s="3" t="s">
        <v>61</v>
      </c>
      <c r="D262" s="3" t="s">
        <v>52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f t="shared" si="16"/>
        <v>6.62</v>
      </c>
      <c r="L262" s="3">
        <f t="shared" si="17"/>
        <v>0</v>
      </c>
      <c r="M262" s="3">
        <v>0</v>
      </c>
      <c r="N262" s="3">
        <v>4.2</v>
      </c>
      <c r="O262" s="3">
        <f t="shared" si="18"/>
        <v>4.2</v>
      </c>
      <c r="P262" s="3">
        <f t="shared" si="19"/>
        <v>0</v>
      </c>
      <c r="Q262" s="3">
        <v>528852.62</v>
      </c>
      <c r="R262" s="3">
        <v>68426.210000000006</v>
      </c>
    </row>
    <row r="263" spans="1:18" ht="14.45">
      <c r="A263" s="3" t="s">
        <v>121</v>
      </c>
      <c r="B263" s="4">
        <v>45689</v>
      </c>
      <c r="C263" s="3" t="s">
        <v>61</v>
      </c>
      <c r="D263" s="3" t="s">
        <v>52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f t="shared" si="16"/>
        <v>3.3650000000000002</v>
      </c>
      <c r="L263" s="3">
        <f t="shared" si="17"/>
        <v>1</v>
      </c>
      <c r="M263" s="3">
        <v>0</v>
      </c>
      <c r="N263" s="3">
        <v>4.2</v>
      </c>
      <c r="O263" s="3">
        <f t="shared" si="18"/>
        <v>4.2</v>
      </c>
      <c r="P263" s="3">
        <f t="shared" si="19"/>
        <v>0</v>
      </c>
      <c r="Q263" s="3">
        <v>605751.32999999996</v>
      </c>
      <c r="R263" s="3">
        <v>60685.53</v>
      </c>
    </row>
    <row r="264" spans="1:18" ht="14.45">
      <c r="A264" s="3" t="s">
        <v>121</v>
      </c>
      <c r="B264" s="4">
        <v>45717</v>
      </c>
      <c r="C264" s="3" t="s">
        <v>61</v>
      </c>
      <c r="D264" s="3" t="s">
        <v>52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f t="shared" si="16"/>
        <v>6.92</v>
      </c>
      <c r="L264" s="3">
        <f t="shared" si="17"/>
        <v>0</v>
      </c>
      <c r="M264" s="3">
        <v>1</v>
      </c>
      <c r="N264" s="3">
        <v>4.2</v>
      </c>
      <c r="O264" s="3">
        <f t="shared" si="18"/>
        <v>4.2</v>
      </c>
      <c r="P264" s="3">
        <f t="shared" si="19"/>
        <v>0</v>
      </c>
      <c r="Q264" s="3">
        <v>677640.65</v>
      </c>
      <c r="R264" s="3">
        <v>111610.89</v>
      </c>
    </row>
    <row r="265" spans="1:18" ht="14.45">
      <c r="A265" s="3" t="s">
        <v>121</v>
      </c>
      <c r="B265" s="4">
        <v>45748</v>
      </c>
      <c r="C265" s="3" t="s">
        <v>61</v>
      </c>
      <c r="D265" s="3" t="s">
        <v>52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f t="shared" si="16"/>
        <v>11.78</v>
      </c>
      <c r="L265" s="3">
        <f t="shared" si="17"/>
        <v>0</v>
      </c>
      <c r="M265" s="3">
        <v>0</v>
      </c>
      <c r="N265" s="3">
        <v>3.7</v>
      </c>
      <c r="O265" s="3">
        <f t="shared" si="18"/>
        <v>3.7</v>
      </c>
      <c r="P265" s="3">
        <f t="shared" si="19"/>
        <v>0</v>
      </c>
      <c r="Q265" s="3">
        <v>636613.23</v>
      </c>
      <c r="R265" s="3">
        <v>78908.350000000006</v>
      </c>
    </row>
    <row r="266" spans="1:18" ht="14.45">
      <c r="A266" s="3" t="s">
        <v>122</v>
      </c>
      <c r="B266" s="4">
        <v>45658</v>
      </c>
      <c r="C266" s="3" t="s">
        <v>49</v>
      </c>
      <c r="D266" s="3" t="s">
        <v>52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f t="shared" si="16"/>
        <v>0.5</v>
      </c>
      <c r="L266" s="3">
        <f t="shared" si="17"/>
        <v>0</v>
      </c>
      <c r="M266" s="3">
        <v>0</v>
      </c>
      <c r="N266" s="3">
        <v>3.5</v>
      </c>
      <c r="O266" s="3">
        <f t="shared" si="18"/>
        <v>3.5</v>
      </c>
      <c r="P266" s="3">
        <f t="shared" si="19"/>
        <v>0</v>
      </c>
      <c r="Q266" s="3">
        <v>708985.19</v>
      </c>
      <c r="R266" s="3">
        <v>125368.16</v>
      </c>
    </row>
    <row r="267" spans="1:18" ht="14.45">
      <c r="A267" s="3" t="s">
        <v>122</v>
      </c>
      <c r="B267" s="4">
        <v>45689</v>
      </c>
      <c r="C267" s="3" t="s">
        <v>49</v>
      </c>
      <c r="D267" s="3" t="s">
        <v>52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f t="shared" si="16"/>
        <v>0.88</v>
      </c>
      <c r="L267" s="3">
        <f t="shared" si="17"/>
        <v>0</v>
      </c>
      <c r="M267" s="3">
        <v>0</v>
      </c>
      <c r="N267" s="3">
        <v>3.7</v>
      </c>
      <c r="O267" s="3">
        <f t="shared" si="18"/>
        <v>3.7</v>
      </c>
      <c r="P267" s="3">
        <f t="shared" si="19"/>
        <v>0</v>
      </c>
      <c r="Q267" s="3">
        <v>767792.94</v>
      </c>
      <c r="R267" s="3">
        <v>96235.77</v>
      </c>
    </row>
    <row r="268" spans="1:18" ht="14.45">
      <c r="A268" s="3" t="s">
        <v>122</v>
      </c>
      <c r="B268" s="4">
        <v>45717</v>
      </c>
      <c r="C268" s="3" t="s">
        <v>49</v>
      </c>
      <c r="D268" s="3" t="s">
        <v>52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f t="shared" si="16"/>
        <v>2.25</v>
      </c>
      <c r="L268" s="3">
        <f t="shared" si="17"/>
        <v>0</v>
      </c>
      <c r="M268" s="3">
        <v>0</v>
      </c>
      <c r="N268" s="3">
        <v>3.7</v>
      </c>
      <c r="O268" s="3">
        <f t="shared" si="18"/>
        <v>3.7</v>
      </c>
      <c r="P268" s="3">
        <f t="shared" si="19"/>
        <v>0</v>
      </c>
      <c r="Q268" s="3">
        <v>745580.51</v>
      </c>
      <c r="R268" s="3">
        <v>116273.68</v>
      </c>
    </row>
    <row r="269" spans="1:18" ht="14.45">
      <c r="A269" s="3" t="s">
        <v>122</v>
      </c>
      <c r="B269" s="4">
        <v>45748</v>
      </c>
      <c r="C269" s="3" t="s">
        <v>49</v>
      </c>
      <c r="D269" s="3" t="s">
        <v>52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f t="shared" si="16"/>
        <v>0.28999999999999998</v>
      </c>
      <c r="L269" s="3">
        <f t="shared" si="17"/>
        <v>0</v>
      </c>
      <c r="M269" s="3">
        <v>0</v>
      </c>
      <c r="N269" s="3">
        <v>3.5</v>
      </c>
      <c r="O269" s="3">
        <f t="shared" si="18"/>
        <v>3.5</v>
      </c>
      <c r="P269" s="3">
        <f t="shared" si="19"/>
        <v>0</v>
      </c>
      <c r="Q269" s="3">
        <v>762328.31</v>
      </c>
      <c r="R269" s="3">
        <v>159158.19</v>
      </c>
    </row>
    <row r="270" spans="1:18" ht="14.45">
      <c r="A270" s="3" t="s">
        <v>123</v>
      </c>
      <c r="B270" s="4">
        <v>45658</v>
      </c>
      <c r="C270" s="3" t="s">
        <v>49</v>
      </c>
      <c r="D270" s="3" t="s">
        <v>62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f t="shared" si="16"/>
        <v>0.65</v>
      </c>
      <c r="L270" s="3">
        <f t="shared" si="17"/>
        <v>0</v>
      </c>
      <c r="M270" s="3">
        <v>0</v>
      </c>
      <c r="N270" s="3">
        <v>3.6</v>
      </c>
      <c r="O270" s="3">
        <f t="shared" si="18"/>
        <v>3.6</v>
      </c>
      <c r="P270" s="3">
        <f t="shared" si="19"/>
        <v>0</v>
      </c>
      <c r="Q270" s="3">
        <v>660633.99</v>
      </c>
      <c r="R270" s="3">
        <v>118768.66</v>
      </c>
    </row>
    <row r="271" spans="1:18" ht="14.45">
      <c r="A271" s="3" t="s">
        <v>123</v>
      </c>
      <c r="B271" s="4">
        <v>45689</v>
      </c>
      <c r="C271" s="3" t="s">
        <v>49</v>
      </c>
      <c r="D271" s="3" t="s">
        <v>62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f t="shared" si="16"/>
        <v>0.2</v>
      </c>
      <c r="L271" s="3">
        <f t="shared" si="17"/>
        <v>0</v>
      </c>
      <c r="M271" s="3">
        <v>0</v>
      </c>
      <c r="N271" s="3">
        <v>3.5</v>
      </c>
      <c r="O271" s="3">
        <f t="shared" si="18"/>
        <v>3.5</v>
      </c>
      <c r="P271" s="3">
        <f t="shared" si="19"/>
        <v>0</v>
      </c>
      <c r="Q271" s="3">
        <v>739374.56</v>
      </c>
      <c r="R271" s="3">
        <v>121032.29</v>
      </c>
    </row>
    <row r="272" spans="1:18" ht="14.45">
      <c r="A272" s="3" t="s">
        <v>123</v>
      </c>
      <c r="B272" s="4">
        <v>45717</v>
      </c>
      <c r="C272" s="3" t="s">
        <v>49</v>
      </c>
      <c r="D272" s="3" t="s">
        <v>62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f t="shared" si="16"/>
        <v>3.63</v>
      </c>
      <c r="L272" s="3">
        <f t="shared" si="17"/>
        <v>0</v>
      </c>
      <c r="M272" s="3">
        <v>1</v>
      </c>
      <c r="N272" s="3">
        <v>3.8</v>
      </c>
      <c r="O272" s="3">
        <f t="shared" si="18"/>
        <v>3.8</v>
      </c>
      <c r="P272" s="3">
        <f t="shared" si="19"/>
        <v>0</v>
      </c>
      <c r="Q272" s="3">
        <v>799756.46</v>
      </c>
      <c r="R272" s="3">
        <v>105052.93</v>
      </c>
    </row>
    <row r="273" spans="1:18" ht="14.45">
      <c r="A273" s="3" t="s">
        <v>123</v>
      </c>
      <c r="B273" s="4">
        <v>45748</v>
      </c>
      <c r="C273" s="3" t="s">
        <v>49</v>
      </c>
      <c r="D273" s="3" t="s">
        <v>62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f t="shared" si="16"/>
        <v>0.2</v>
      </c>
      <c r="L273" s="3">
        <f t="shared" si="17"/>
        <v>0</v>
      </c>
      <c r="M273" s="3">
        <v>0</v>
      </c>
      <c r="N273" s="3">
        <v>3.2</v>
      </c>
      <c r="O273" s="3">
        <f t="shared" si="18"/>
        <v>3.2</v>
      </c>
      <c r="P273" s="3">
        <f t="shared" si="19"/>
        <v>0</v>
      </c>
      <c r="Q273" s="3">
        <v>593343</v>
      </c>
      <c r="R273" s="3">
        <v>82832.240000000005</v>
      </c>
    </row>
    <row r="274" spans="1:18" ht="14.45">
      <c r="A274" s="3" t="s">
        <v>124</v>
      </c>
      <c r="B274" s="4">
        <v>45658</v>
      </c>
      <c r="C274" s="3" t="s">
        <v>61</v>
      </c>
      <c r="D274" s="3" t="s">
        <v>52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f t="shared" si="16"/>
        <v>6.23</v>
      </c>
      <c r="L274" s="3">
        <f t="shared" si="17"/>
        <v>0</v>
      </c>
      <c r="M274" s="3">
        <v>0</v>
      </c>
      <c r="N274" s="3">
        <v>3.3</v>
      </c>
      <c r="O274" s="3">
        <f t="shared" si="18"/>
        <v>3.3</v>
      </c>
      <c r="P274" s="3">
        <f t="shared" si="19"/>
        <v>0</v>
      </c>
      <c r="Q274" s="3">
        <v>645039.97</v>
      </c>
      <c r="R274" s="3">
        <v>83093.33</v>
      </c>
    </row>
    <row r="275" spans="1:18" ht="14.45">
      <c r="A275" s="3" t="s">
        <v>124</v>
      </c>
      <c r="B275" s="4">
        <v>45689</v>
      </c>
      <c r="C275" s="3" t="s">
        <v>61</v>
      </c>
      <c r="D275" s="3" t="s">
        <v>52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f t="shared" si="16"/>
        <v>1.04</v>
      </c>
      <c r="L275" s="3">
        <f t="shared" si="17"/>
        <v>0</v>
      </c>
      <c r="M275" s="3">
        <v>0</v>
      </c>
      <c r="N275" s="3">
        <v>3.1</v>
      </c>
      <c r="O275" s="3">
        <f t="shared" si="18"/>
        <v>3.1</v>
      </c>
      <c r="P275" s="3">
        <f t="shared" si="19"/>
        <v>0</v>
      </c>
      <c r="Q275" s="3">
        <v>561597.32999999996</v>
      </c>
      <c r="R275" s="3">
        <v>75072.75</v>
      </c>
    </row>
    <row r="276" spans="1:18" ht="14.45">
      <c r="A276" s="3" t="s">
        <v>124</v>
      </c>
      <c r="B276" s="4">
        <v>45717</v>
      </c>
      <c r="C276" s="3" t="s">
        <v>61</v>
      </c>
      <c r="D276" s="3" t="s">
        <v>52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f t="shared" si="16"/>
        <v>1.76</v>
      </c>
      <c r="L276" s="3">
        <f t="shared" si="17"/>
        <v>0</v>
      </c>
      <c r="M276" s="3">
        <v>0</v>
      </c>
      <c r="N276" s="3">
        <v>3.1</v>
      </c>
      <c r="O276" s="3">
        <f t="shared" si="18"/>
        <v>3.1</v>
      </c>
      <c r="P276" s="3">
        <f t="shared" si="19"/>
        <v>0</v>
      </c>
      <c r="Q276" s="3">
        <v>635837.74</v>
      </c>
      <c r="R276" s="3">
        <v>114740.64</v>
      </c>
    </row>
    <row r="277" spans="1:18" ht="14.45">
      <c r="A277" s="3" t="s">
        <v>124</v>
      </c>
      <c r="B277" s="4">
        <v>45748</v>
      </c>
      <c r="C277" s="3" t="s">
        <v>61</v>
      </c>
      <c r="D277" s="3" t="s">
        <v>52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f t="shared" si="16"/>
        <v>2.86</v>
      </c>
      <c r="L277" s="3">
        <f t="shared" si="17"/>
        <v>0</v>
      </c>
      <c r="M277" s="3">
        <v>0</v>
      </c>
      <c r="N277" s="3">
        <v>3</v>
      </c>
      <c r="O277" s="3">
        <f t="shared" si="18"/>
        <v>3</v>
      </c>
      <c r="P277" s="3">
        <f t="shared" si="19"/>
        <v>0</v>
      </c>
      <c r="Q277" s="3">
        <v>686737.87</v>
      </c>
      <c r="R277" s="3">
        <v>83839.67</v>
      </c>
    </row>
    <row r="278" spans="1:18" ht="14.45">
      <c r="A278" s="3" t="s">
        <v>125</v>
      </c>
      <c r="B278" s="4">
        <v>45658</v>
      </c>
      <c r="C278" s="3" t="s">
        <v>58</v>
      </c>
      <c r="D278" s="3" t="s">
        <v>50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f t="shared" si="16"/>
        <v>18.14</v>
      </c>
      <c r="L278" s="3">
        <f t="shared" si="17"/>
        <v>0</v>
      </c>
      <c r="M278" s="3">
        <v>1</v>
      </c>
      <c r="N278" s="3">
        <v>3.4</v>
      </c>
      <c r="O278" s="3">
        <f t="shared" si="18"/>
        <v>3.4</v>
      </c>
      <c r="P278" s="3">
        <f t="shared" si="19"/>
        <v>0</v>
      </c>
      <c r="Q278" s="3">
        <v>673076.34</v>
      </c>
      <c r="R278" s="3">
        <v>93899.76</v>
      </c>
    </row>
    <row r="279" spans="1:18" ht="14.45">
      <c r="A279" s="3" t="s">
        <v>125</v>
      </c>
      <c r="B279" s="4">
        <v>45689</v>
      </c>
      <c r="C279" s="3" t="s">
        <v>58</v>
      </c>
      <c r="D279" s="3" t="s">
        <v>50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f t="shared" si="16"/>
        <v>3.39</v>
      </c>
      <c r="L279" s="3">
        <f t="shared" si="17"/>
        <v>0</v>
      </c>
      <c r="M279" s="3">
        <v>0</v>
      </c>
      <c r="N279" s="3">
        <v>4</v>
      </c>
      <c r="O279" s="3">
        <f t="shared" si="18"/>
        <v>4</v>
      </c>
      <c r="P279" s="3">
        <f t="shared" si="19"/>
        <v>0</v>
      </c>
      <c r="Q279" s="3">
        <v>738548.42</v>
      </c>
      <c r="R279" s="3">
        <v>134282.76999999999</v>
      </c>
    </row>
    <row r="280" spans="1:18" ht="14.45">
      <c r="A280" s="3" t="s">
        <v>125</v>
      </c>
      <c r="B280" s="4">
        <v>45717</v>
      </c>
      <c r="C280" s="3" t="s">
        <v>58</v>
      </c>
      <c r="D280" s="3" t="s">
        <v>50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f t="shared" si="16"/>
        <v>1.44</v>
      </c>
      <c r="L280" s="3">
        <f t="shared" si="17"/>
        <v>0</v>
      </c>
      <c r="M280" s="3">
        <v>0</v>
      </c>
      <c r="N280" s="3">
        <v>3.9</v>
      </c>
      <c r="O280" s="3">
        <f t="shared" si="18"/>
        <v>3.9</v>
      </c>
      <c r="P280" s="3">
        <f t="shared" si="19"/>
        <v>0</v>
      </c>
      <c r="Q280" s="3">
        <v>756619.77</v>
      </c>
      <c r="R280" s="3">
        <v>112057.69</v>
      </c>
    </row>
    <row r="281" spans="1:18" ht="14.45">
      <c r="A281" s="3" t="s">
        <v>125</v>
      </c>
      <c r="B281" s="4">
        <v>45748</v>
      </c>
      <c r="C281" s="3" t="s">
        <v>58</v>
      </c>
      <c r="D281" s="3" t="s">
        <v>50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f t="shared" si="16"/>
        <v>3.65</v>
      </c>
      <c r="L281" s="3">
        <f t="shared" si="17"/>
        <v>0</v>
      </c>
      <c r="M281" s="3">
        <v>0</v>
      </c>
      <c r="N281" s="3">
        <v>3.7</v>
      </c>
      <c r="O281" s="3">
        <f t="shared" si="18"/>
        <v>3.7</v>
      </c>
      <c r="P281" s="3">
        <f t="shared" si="19"/>
        <v>0</v>
      </c>
      <c r="Q281" s="3">
        <v>761122.42</v>
      </c>
      <c r="R281" s="3">
        <v>149802.04</v>
      </c>
    </row>
    <row r="282" spans="1:18" ht="14.45">
      <c r="A282" s="3" t="s">
        <v>126</v>
      </c>
      <c r="B282" s="4">
        <v>45658</v>
      </c>
      <c r="C282" s="3" t="s">
        <v>58</v>
      </c>
      <c r="D282" s="3" t="s">
        <v>52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f t="shared" si="16"/>
        <v>1.23</v>
      </c>
      <c r="L282" s="3">
        <f t="shared" si="17"/>
        <v>0</v>
      </c>
      <c r="M282" s="3">
        <v>1</v>
      </c>
      <c r="N282" s="3">
        <v>3.8</v>
      </c>
      <c r="O282" s="3">
        <f t="shared" si="18"/>
        <v>3.8</v>
      </c>
      <c r="P282" s="3">
        <f t="shared" si="19"/>
        <v>0</v>
      </c>
      <c r="Q282" s="3">
        <v>524899.56999999995</v>
      </c>
      <c r="R282" s="3">
        <v>63619.98</v>
      </c>
    </row>
    <row r="283" spans="1:18" ht="14.45">
      <c r="A283" s="3" t="s">
        <v>126</v>
      </c>
      <c r="B283" s="4">
        <v>45689</v>
      </c>
      <c r="C283" s="3" t="s">
        <v>58</v>
      </c>
      <c r="D283" s="3" t="s">
        <v>52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f t="shared" si="16"/>
        <v>3.09</v>
      </c>
      <c r="L283" s="3">
        <f t="shared" si="17"/>
        <v>0</v>
      </c>
      <c r="M283" s="3">
        <v>0</v>
      </c>
      <c r="N283" s="3">
        <v>4</v>
      </c>
      <c r="O283" s="3">
        <f t="shared" si="18"/>
        <v>4</v>
      </c>
      <c r="P283" s="3">
        <f t="shared" si="19"/>
        <v>0</v>
      </c>
      <c r="Q283" s="3">
        <v>555557.77</v>
      </c>
      <c r="R283" s="3">
        <v>86475.51</v>
      </c>
    </row>
    <row r="284" spans="1:18" ht="14.45">
      <c r="A284" s="3" t="s">
        <v>126</v>
      </c>
      <c r="B284" s="4">
        <v>45717</v>
      </c>
      <c r="C284" s="3" t="s">
        <v>58</v>
      </c>
      <c r="D284" s="3" t="s">
        <v>52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f t="shared" si="16"/>
        <v>3.15</v>
      </c>
      <c r="L284" s="3">
        <f t="shared" si="17"/>
        <v>0</v>
      </c>
      <c r="M284" s="3">
        <v>0</v>
      </c>
      <c r="N284" s="3">
        <v>4</v>
      </c>
      <c r="O284" s="3">
        <f t="shared" si="18"/>
        <v>4</v>
      </c>
      <c r="P284" s="3">
        <f t="shared" si="19"/>
        <v>0</v>
      </c>
      <c r="Q284" s="3">
        <v>714083.68</v>
      </c>
      <c r="R284" s="3">
        <v>127231.74</v>
      </c>
    </row>
    <row r="285" spans="1:18" ht="14.45">
      <c r="A285" s="3" t="s">
        <v>126</v>
      </c>
      <c r="B285" s="4">
        <v>45748</v>
      </c>
      <c r="C285" s="3" t="s">
        <v>58</v>
      </c>
      <c r="D285" s="3" t="s">
        <v>52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f t="shared" si="16"/>
        <v>6.44</v>
      </c>
      <c r="L285" s="3">
        <f t="shared" si="17"/>
        <v>0</v>
      </c>
      <c r="M285" s="3">
        <v>0</v>
      </c>
      <c r="N285" s="3">
        <v>4.2</v>
      </c>
      <c r="O285" s="3">
        <f t="shared" si="18"/>
        <v>4.2</v>
      </c>
      <c r="P285" s="3">
        <f t="shared" si="19"/>
        <v>0</v>
      </c>
      <c r="Q285" s="3">
        <v>497439.82</v>
      </c>
      <c r="R285" s="3">
        <v>93372.75</v>
      </c>
    </row>
    <row r="286" spans="1:18" ht="14.45">
      <c r="A286" s="3" t="s">
        <v>127</v>
      </c>
      <c r="B286" s="4">
        <v>45658</v>
      </c>
      <c r="C286" s="3" t="s">
        <v>61</v>
      </c>
      <c r="D286" s="3" t="s">
        <v>50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f t="shared" si="16"/>
        <v>0.2</v>
      </c>
      <c r="L286" s="3">
        <f t="shared" si="17"/>
        <v>0</v>
      </c>
      <c r="M286" s="3">
        <v>1</v>
      </c>
      <c r="N286" s="3">
        <v>4.5</v>
      </c>
      <c r="O286" s="3">
        <f t="shared" si="18"/>
        <v>4.5</v>
      </c>
      <c r="P286" s="3">
        <f t="shared" si="19"/>
        <v>0</v>
      </c>
      <c r="Q286" s="3">
        <v>636775.66</v>
      </c>
      <c r="R286" s="3">
        <v>122636.86</v>
      </c>
    </row>
    <row r="287" spans="1:18" ht="14.45">
      <c r="A287" s="3" t="s">
        <v>127</v>
      </c>
      <c r="B287" s="4">
        <v>45689</v>
      </c>
      <c r="C287" s="3" t="s">
        <v>61</v>
      </c>
      <c r="D287" s="3" t="s">
        <v>50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f t="shared" si="16"/>
        <v>0.59</v>
      </c>
      <c r="L287" s="3">
        <f t="shared" si="17"/>
        <v>0</v>
      </c>
      <c r="M287" s="3">
        <v>0</v>
      </c>
      <c r="N287" s="3">
        <v>4.5</v>
      </c>
      <c r="O287" s="3">
        <f t="shared" si="18"/>
        <v>4.5</v>
      </c>
      <c r="P287" s="3">
        <f t="shared" si="19"/>
        <v>0</v>
      </c>
      <c r="Q287" s="3">
        <v>633009.53</v>
      </c>
      <c r="R287" s="3">
        <v>123782.67</v>
      </c>
    </row>
    <row r="288" spans="1:18" ht="14.45">
      <c r="A288" s="3" t="s">
        <v>127</v>
      </c>
      <c r="B288" s="4">
        <v>45717</v>
      </c>
      <c r="C288" s="3" t="s">
        <v>61</v>
      </c>
      <c r="D288" s="3" t="s">
        <v>50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f t="shared" si="16"/>
        <v>0.2</v>
      </c>
      <c r="L288" s="3">
        <f t="shared" si="17"/>
        <v>0</v>
      </c>
      <c r="M288" s="3">
        <v>1</v>
      </c>
      <c r="N288" s="3">
        <v>4.2</v>
      </c>
      <c r="O288" s="3">
        <f t="shared" si="18"/>
        <v>4.2</v>
      </c>
      <c r="P288" s="3">
        <f t="shared" si="19"/>
        <v>0</v>
      </c>
      <c r="Q288" s="3">
        <v>609949</v>
      </c>
      <c r="R288" s="3">
        <v>126789.25</v>
      </c>
    </row>
    <row r="289" spans="1:18" ht="14.45">
      <c r="A289" s="3" t="s">
        <v>127</v>
      </c>
      <c r="B289" s="4">
        <v>45748</v>
      </c>
      <c r="C289" s="3" t="s">
        <v>61</v>
      </c>
      <c r="D289" s="3" t="s">
        <v>50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f t="shared" si="16"/>
        <v>1.36</v>
      </c>
      <c r="L289" s="3">
        <f t="shared" si="17"/>
        <v>0</v>
      </c>
      <c r="M289" s="3">
        <v>0</v>
      </c>
      <c r="N289" s="3">
        <v>4.8</v>
      </c>
      <c r="O289" s="3">
        <f t="shared" si="18"/>
        <v>4.8</v>
      </c>
      <c r="P289" s="3">
        <f t="shared" si="19"/>
        <v>0</v>
      </c>
      <c r="Q289" s="3">
        <v>548103.69999999995</v>
      </c>
      <c r="R289" s="3">
        <v>99905.52</v>
      </c>
    </row>
    <row r="290" spans="1:18" ht="14.45">
      <c r="A290" s="3" t="s">
        <v>128</v>
      </c>
      <c r="B290" s="4">
        <v>45658</v>
      </c>
      <c r="C290" s="3" t="s">
        <v>49</v>
      </c>
      <c r="D290" s="3" t="s">
        <v>50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f t="shared" si="16"/>
        <v>3.34</v>
      </c>
      <c r="L290" s="3">
        <f t="shared" si="17"/>
        <v>0</v>
      </c>
      <c r="M290" s="3">
        <v>0</v>
      </c>
      <c r="N290" s="3">
        <v>3.7</v>
      </c>
      <c r="O290" s="3">
        <f t="shared" si="18"/>
        <v>3.7</v>
      </c>
      <c r="P290" s="3">
        <f t="shared" si="19"/>
        <v>0</v>
      </c>
      <c r="Q290" s="3">
        <v>729424.42</v>
      </c>
      <c r="R290" s="3">
        <v>75592.28</v>
      </c>
    </row>
    <row r="291" spans="1:18" ht="14.45">
      <c r="A291" s="3" t="s">
        <v>128</v>
      </c>
      <c r="B291" s="4">
        <v>45689</v>
      </c>
      <c r="C291" s="3" t="s">
        <v>49</v>
      </c>
      <c r="D291" s="3" t="s">
        <v>50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f t="shared" si="16"/>
        <v>0.33</v>
      </c>
      <c r="L291" s="3">
        <f t="shared" si="17"/>
        <v>0</v>
      </c>
      <c r="M291" s="3">
        <v>0</v>
      </c>
      <c r="N291" s="3">
        <v>4</v>
      </c>
      <c r="O291" s="3">
        <f t="shared" si="18"/>
        <v>4</v>
      </c>
      <c r="P291" s="3">
        <f t="shared" si="19"/>
        <v>0</v>
      </c>
      <c r="Q291" s="3">
        <v>696261.49</v>
      </c>
      <c r="R291" s="3">
        <v>72455.350000000006</v>
      </c>
    </row>
    <row r="292" spans="1:18" ht="14.45">
      <c r="A292" s="3" t="s">
        <v>128</v>
      </c>
      <c r="B292" s="4">
        <v>45717</v>
      </c>
      <c r="C292" s="3" t="s">
        <v>49</v>
      </c>
      <c r="D292" s="3" t="s">
        <v>50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f t="shared" si="16"/>
        <v>3.44</v>
      </c>
      <c r="L292" s="3">
        <f t="shared" si="17"/>
        <v>0</v>
      </c>
      <c r="M292" s="3">
        <v>1</v>
      </c>
      <c r="N292" s="3">
        <v>4.3</v>
      </c>
      <c r="O292" s="3">
        <f t="shared" si="18"/>
        <v>4.3</v>
      </c>
      <c r="P292" s="3">
        <f t="shared" si="19"/>
        <v>0</v>
      </c>
      <c r="Q292" s="3">
        <v>813316.71</v>
      </c>
      <c r="R292" s="3">
        <v>110077.42</v>
      </c>
    </row>
    <row r="293" spans="1:18" ht="14.45">
      <c r="A293" s="3" t="s">
        <v>128</v>
      </c>
      <c r="B293" s="4">
        <v>45748</v>
      </c>
      <c r="C293" s="3" t="s">
        <v>49</v>
      </c>
      <c r="D293" s="3" t="s">
        <v>50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f t="shared" si="16"/>
        <v>5.33</v>
      </c>
      <c r="L293" s="3">
        <f t="shared" si="17"/>
        <v>0</v>
      </c>
      <c r="M293" s="3">
        <v>0</v>
      </c>
      <c r="N293" s="3">
        <v>4.0999999999999996</v>
      </c>
      <c r="O293" s="3">
        <f t="shared" si="18"/>
        <v>4.0999999999999996</v>
      </c>
      <c r="P293" s="3">
        <f t="shared" si="19"/>
        <v>0</v>
      </c>
      <c r="Q293" s="3">
        <v>702068.92</v>
      </c>
      <c r="R293" s="3">
        <v>111266.63</v>
      </c>
    </row>
    <row r="294" spans="1:18" ht="14.45">
      <c r="A294" s="3" t="s">
        <v>129</v>
      </c>
      <c r="B294" s="4">
        <v>45658</v>
      </c>
      <c r="C294" s="3" t="s">
        <v>61</v>
      </c>
      <c r="D294" s="3" t="s">
        <v>52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f t="shared" si="16"/>
        <v>6.04</v>
      </c>
      <c r="L294" s="3">
        <f t="shared" si="17"/>
        <v>0</v>
      </c>
      <c r="M294" s="3">
        <v>0</v>
      </c>
      <c r="N294" s="3">
        <v>4.5</v>
      </c>
      <c r="O294" s="3">
        <f t="shared" si="18"/>
        <v>4.5</v>
      </c>
      <c r="P294" s="3">
        <f t="shared" si="19"/>
        <v>0</v>
      </c>
      <c r="Q294" s="3">
        <v>546223.69999999995</v>
      </c>
      <c r="R294" s="3">
        <v>100769.17</v>
      </c>
    </row>
    <row r="295" spans="1:18" ht="14.45">
      <c r="A295" s="3" t="s">
        <v>129</v>
      </c>
      <c r="B295" s="4">
        <v>45689</v>
      </c>
      <c r="C295" s="3" t="s">
        <v>61</v>
      </c>
      <c r="D295" s="3" t="s">
        <v>52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f t="shared" si="16"/>
        <v>1.6</v>
      </c>
      <c r="L295" s="3">
        <f t="shared" si="17"/>
        <v>0</v>
      </c>
      <c r="M295" s="3">
        <v>0</v>
      </c>
      <c r="N295" s="3">
        <v>4.2</v>
      </c>
      <c r="O295" s="3">
        <f t="shared" si="18"/>
        <v>4.2</v>
      </c>
      <c r="P295" s="3">
        <f t="shared" si="19"/>
        <v>0</v>
      </c>
      <c r="Q295" s="3">
        <v>533121.26</v>
      </c>
      <c r="R295" s="3">
        <v>55063.39</v>
      </c>
    </row>
    <row r="296" spans="1:18" ht="14.45">
      <c r="A296" s="3" t="s">
        <v>129</v>
      </c>
      <c r="B296" s="4">
        <v>45717</v>
      </c>
      <c r="C296" s="3" t="s">
        <v>61</v>
      </c>
      <c r="D296" s="3" t="s">
        <v>52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f t="shared" si="16"/>
        <v>8.9600000000000009</v>
      </c>
      <c r="L296" s="3">
        <f t="shared" si="17"/>
        <v>0</v>
      </c>
      <c r="M296" s="3">
        <v>0</v>
      </c>
      <c r="N296" s="3">
        <v>4.7</v>
      </c>
      <c r="O296" s="3">
        <f t="shared" si="18"/>
        <v>4.7</v>
      </c>
      <c r="P296" s="3">
        <f t="shared" si="19"/>
        <v>0</v>
      </c>
      <c r="Q296" s="3">
        <v>498970.32</v>
      </c>
      <c r="R296" s="3">
        <v>69656.7</v>
      </c>
    </row>
    <row r="297" spans="1:18" ht="14.45">
      <c r="A297" s="3" t="s">
        <v>129</v>
      </c>
      <c r="B297" s="4">
        <v>45748</v>
      </c>
      <c r="C297" s="3" t="s">
        <v>61</v>
      </c>
      <c r="D297" s="3" t="s">
        <v>52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f t="shared" si="16"/>
        <v>0.74</v>
      </c>
      <c r="L297" s="3">
        <f t="shared" si="17"/>
        <v>0</v>
      </c>
      <c r="M297" s="3">
        <v>0</v>
      </c>
      <c r="N297" s="3">
        <v>4.5999999999999996</v>
      </c>
      <c r="O297" s="3">
        <f t="shared" si="18"/>
        <v>4.5999999999999996</v>
      </c>
      <c r="P297" s="3">
        <f t="shared" si="19"/>
        <v>0</v>
      </c>
      <c r="Q297" s="3">
        <v>487738.26</v>
      </c>
      <c r="R297" s="3">
        <v>96435.6</v>
      </c>
    </row>
    <row r="298" spans="1:18" ht="14.45">
      <c r="A298" s="3" t="s">
        <v>130</v>
      </c>
      <c r="B298" s="4">
        <v>45658</v>
      </c>
      <c r="C298" s="3" t="s">
        <v>61</v>
      </c>
      <c r="D298" s="3" t="s">
        <v>52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f t="shared" si="16"/>
        <v>6.13</v>
      </c>
      <c r="L298" s="3">
        <f t="shared" si="17"/>
        <v>0</v>
      </c>
      <c r="M298" s="3">
        <v>0</v>
      </c>
      <c r="N298" s="3">
        <v>3.3</v>
      </c>
      <c r="O298" s="3">
        <f t="shared" si="18"/>
        <v>3.3</v>
      </c>
      <c r="P298" s="3">
        <f t="shared" si="19"/>
        <v>0</v>
      </c>
      <c r="Q298" s="3">
        <v>668459.37</v>
      </c>
      <c r="R298" s="3">
        <v>126435.42</v>
      </c>
    </row>
    <row r="299" spans="1:18" ht="14.45">
      <c r="A299" s="3" t="s">
        <v>130</v>
      </c>
      <c r="B299" s="4">
        <v>45689</v>
      </c>
      <c r="C299" s="3" t="s">
        <v>61</v>
      </c>
      <c r="D299" s="3" t="s">
        <v>52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f t="shared" si="16"/>
        <v>1.41</v>
      </c>
      <c r="L299" s="3">
        <f t="shared" si="17"/>
        <v>0</v>
      </c>
      <c r="M299" s="3">
        <v>0</v>
      </c>
      <c r="N299" s="3">
        <v>3.3</v>
      </c>
      <c r="O299" s="3">
        <f t="shared" si="18"/>
        <v>3.3</v>
      </c>
      <c r="P299" s="3">
        <f t="shared" si="19"/>
        <v>0</v>
      </c>
      <c r="Q299" s="3">
        <v>763162.45</v>
      </c>
      <c r="R299" s="3">
        <v>162524.04999999999</v>
      </c>
    </row>
    <row r="300" spans="1:18" ht="14.45">
      <c r="A300" s="3" t="s">
        <v>130</v>
      </c>
      <c r="B300" s="4">
        <v>45717</v>
      </c>
      <c r="C300" s="3" t="s">
        <v>61</v>
      </c>
      <c r="D300" s="3" t="s">
        <v>52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f t="shared" si="16"/>
        <v>3.75</v>
      </c>
      <c r="L300" s="3">
        <f t="shared" si="17"/>
        <v>0</v>
      </c>
      <c r="M300" s="3">
        <v>0</v>
      </c>
      <c r="N300" s="3">
        <v>3.1</v>
      </c>
      <c r="O300" s="3">
        <f t="shared" si="18"/>
        <v>3.1</v>
      </c>
      <c r="P300" s="3">
        <f t="shared" si="19"/>
        <v>0</v>
      </c>
      <c r="Q300" s="3">
        <v>599017.32999999996</v>
      </c>
      <c r="R300" s="3">
        <v>134009.92000000001</v>
      </c>
    </row>
    <row r="301" spans="1:18" ht="14.45">
      <c r="A301" s="3" t="s">
        <v>130</v>
      </c>
      <c r="B301" s="4">
        <v>45748</v>
      </c>
      <c r="C301" s="3" t="s">
        <v>61</v>
      </c>
      <c r="D301" s="3" t="s">
        <v>52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f t="shared" si="16"/>
        <v>15.06</v>
      </c>
      <c r="L301" s="3">
        <f t="shared" si="17"/>
        <v>0</v>
      </c>
      <c r="M301" s="3">
        <v>0</v>
      </c>
      <c r="N301" s="3">
        <v>3.2</v>
      </c>
      <c r="O301" s="3">
        <f t="shared" si="18"/>
        <v>3.2</v>
      </c>
      <c r="P301" s="3">
        <f t="shared" si="19"/>
        <v>0</v>
      </c>
      <c r="Q301" s="3">
        <v>401582.58</v>
      </c>
      <c r="R301" s="3">
        <v>68454.929999999993</v>
      </c>
    </row>
    <row r="302" spans="1:18" ht="14.45">
      <c r="A302" s="3" t="s">
        <v>131</v>
      </c>
      <c r="B302" s="4">
        <v>45658</v>
      </c>
      <c r="C302" s="3" t="s">
        <v>54</v>
      </c>
      <c r="D302" s="3" t="s">
        <v>62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f t="shared" si="16"/>
        <v>5.07</v>
      </c>
      <c r="L302" s="3">
        <f t="shared" si="17"/>
        <v>0</v>
      </c>
      <c r="M302" s="3">
        <v>1</v>
      </c>
      <c r="N302" s="3">
        <v>4.0999999999999996</v>
      </c>
      <c r="O302" s="3">
        <f t="shared" si="18"/>
        <v>4.0999999999999996</v>
      </c>
      <c r="P302" s="3">
        <f t="shared" si="19"/>
        <v>0</v>
      </c>
      <c r="Q302" s="3">
        <v>703812.99</v>
      </c>
      <c r="R302" s="3">
        <v>133577.98000000001</v>
      </c>
    </row>
    <row r="303" spans="1:18" ht="14.45">
      <c r="A303" s="3" t="s">
        <v>131</v>
      </c>
      <c r="B303" s="4">
        <v>45689</v>
      </c>
      <c r="C303" s="3" t="s">
        <v>54</v>
      </c>
      <c r="D303" s="3" t="s">
        <v>62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f t="shared" si="16"/>
        <v>3.6</v>
      </c>
      <c r="L303" s="3">
        <f t="shared" si="17"/>
        <v>0</v>
      </c>
      <c r="M303" s="3">
        <v>0</v>
      </c>
      <c r="N303" s="3">
        <v>3.7</v>
      </c>
      <c r="O303" s="3">
        <f t="shared" si="18"/>
        <v>3.7</v>
      </c>
      <c r="P303" s="3">
        <f t="shared" si="19"/>
        <v>0</v>
      </c>
      <c r="Q303" s="3">
        <v>724346.73</v>
      </c>
      <c r="R303" s="3">
        <v>155013.91</v>
      </c>
    </row>
    <row r="304" spans="1:18" ht="14.45">
      <c r="A304" s="3" t="s">
        <v>131</v>
      </c>
      <c r="B304" s="4">
        <v>45717</v>
      </c>
      <c r="C304" s="3" t="s">
        <v>54</v>
      </c>
      <c r="D304" s="3" t="s">
        <v>62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f t="shared" si="16"/>
        <v>4.3899999999999997</v>
      </c>
      <c r="L304" s="3">
        <f t="shared" si="17"/>
        <v>0</v>
      </c>
      <c r="M304" s="3">
        <v>1</v>
      </c>
      <c r="N304" s="3">
        <v>4.7</v>
      </c>
      <c r="O304" s="3">
        <f t="shared" si="18"/>
        <v>4.7</v>
      </c>
      <c r="P304" s="3">
        <f t="shared" si="19"/>
        <v>0</v>
      </c>
      <c r="Q304" s="3">
        <v>730890.01</v>
      </c>
      <c r="R304" s="3">
        <v>105502.56</v>
      </c>
    </row>
    <row r="305" spans="1:18" ht="14.45">
      <c r="A305" s="3" t="s">
        <v>131</v>
      </c>
      <c r="B305" s="4">
        <v>45748</v>
      </c>
      <c r="C305" s="3" t="s">
        <v>54</v>
      </c>
      <c r="D305" s="3" t="s">
        <v>62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f t="shared" si="16"/>
        <v>2.79</v>
      </c>
      <c r="L305" s="3">
        <f t="shared" si="17"/>
        <v>0</v>
      </c>
      <c r="M305" s="3">
        <v>0</v>
      </c>
      <c r="N305" s="3">
        <v>4.2</v>
      </c>
      <c r="O305" s="3">
        <f t="shared" si="18"/>
        <v>4.2</v>
      </c>
      <c r="P305" s="3">
        <f t="shared" si="19"/>
        <v>0</v>
      </c>
      <c r="Q305" s="3">
        <v>780580.95</v>
      </c>
      <c r="R305" s="3">
        <v>138144.46</v>
      </c>
    </row>
    <row r="306" spans="1:18" ht="14.45">
      <c r="A306" s="3" t="s">
        <v>132</v>
      </c>
      <c r="B306" s="4">
        <v>45658</v>
      </c>
      <c r="C306" s="3" t="s">
        <v>58</v>
      </c>
      <c r="D306" s="3" t="s">
        <v>50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f t="shared" si="16"/>
        <v>1.56</v>
      </c>
      <c r="L306" s="3">
        <f t="shared" si="17"/>
        <v>0</v>
      </c>
      <c r="M306" s="3">
        <v>0</v>
      </c>
      <c r="N306" s="3">
        <v>4</v>
      </c>
      <c r="O306" s="3">
        <f t="shared" si="18"/>
        <v>4</v>
      </c>
      <c r="P306" s="3">
        <f t="shared" si="19"/>
        <v>0</v>
      </c>
      <c r="Q306" s="3">
        <v>727957.48</v>
      </c>
      <c r="R306" s="3">
        <v>74805.23</v>
      </c>
    </row>
    <row r="307" spans="1:18" ht="14.45">
      <c r="A307" s="3" t="s">
        <v>132</v>
      </c>
      <c r="B307" s="4">
        <v>45689</v>
      </c>
      <c r="C307" s="3" t="s">
        <v>58</v>
      </c>
      <c r="D307" s="3" t="s">
        <v>50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f t="shared" si="16"/>
        <v>15.82</v>
      </c>
      <c r="L307" s="3">
        <f t="shared" si="17"/>
        <v>0</v>
      </c>
      <c r="M307" s="3">
        <v>0</v>
      </c>
      <c r="N307" s="3">
        <v>3.8</v>
      </c>
      <c r="O307" s="3">
        <f t="shared" si="18"/>
        <v>3.8</v>
      </c>
      <c r="P307" s="3">
        <f t="shared" si="19"/>
        <v>0</v>
      </c>
      <c r="Q307" s="3">
        <v>538376</v>
      </c>
      <c r="R307" s="3">
        <v>87605.62</v>
      </c>
    </row>
    <row r="308" spans="1:18" ht="14.45">
      <c r="A308" s="3" t="s">
        <v>132</v>
      </c>
      <c r="B308" s="4">
        <v>45717</v>
      </c>
      <c r="C308" s="3" t="s">
        <v>58</v>
      </c>
      <c r="D308" s="3" t="s">
        <v>50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f t="shared" si="16"/>
        <v>1.17</v>
      </c>
      <c r="L308" s="3">
        <f t="shared" si="17"/>
        <v>0</v>
      </c>
      <c r="M308" s="3">
        <v>1</v>
      </c>
      <c r="N308" s="3">
        <v>3.7</v>
      </c>
      <c r="O308" s="3">
        <f t="shared" si="18"/>
        <v>3.7</v>
      </c>
      <c r="P308" s="3">
        <f t="shared" si="19"/>
        <v>0</v>
      </c>
      <c r="Q308" s="3">
        <v>665342.49</v>
      </c>
      <c r="R308" s="3">
        <v>93441.81</v>
      </c>
    </row>
    <row r="309" spans="1:18" ht="14.45">
      <c r="A309" s="3" t="s">
        <v>132</v>
      </c>
      <c r="B309" s="4">
        <v>45748</v>
      </c>
      <c r="C309" s="3" t="s">
        <v>58</v>
      </c>
      <c r="D309" s="3" t="s">
        <v>50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f t="shared" si="16"/>
        <v>3.82</v>
      </c>
      <c r="L309" s="3">
        <f t="shared" si="17"/>
        <v>0</v>
      </c>
      <c r="M309" s="3">
        <v>0</v>
      </c>
      <c r="N309" s="3">
        <v>3.5</v>
      </c>
      <c r="O309" s="3">
        <f t="shared" si="18"/>
        <v>3.5</v>
      </c>
      <c r="P309" s="3">
        <f t="shared" si="19"/>
        <v>0</v>
      </c>
      <c r="Q309" s="3">
        <v>651164.18000000005</v>
      </c>
      <c r="R309" s="3">
        <v>109466.5</v>
      </c>
    </row>
    <row r="310" spans="1:18" ht="14.45">
      <c r="A310" s="3" t="s">
        <v>133</v>
      </c>
      <c r="B310" s="4">
        <v>45658</v>
      </c>
      <c r="C310" s="3" t="s">
        <v>58</v>
      </c>
      <c r="D310" s="3" t="s">
        <v>52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f t="shared" si="16"/>
        <v>4.1399999999999997</v>
      </c>
      <c r="L310" s="3">
        <f t="shared" si="17"/>
        <v>0</v>
      </c>
      <c r="M310" s="3">
        <v>0</v>
      </c>
      <c r="N310" s="3">
        <v>4</v>
      </c>
      <c r="O310" s="3">
        <f t="shared" si="18"/>
        <v>4</v>
      </c>
      <c r="P310" s="3">
        <f t="shared" si="19"/>
        <v>0</v>
      </c>
      <c r="Q310" s="3">
        <v>628538.30000000005</v>
      </c>
      <c r="R310" s="3">
        <v>112509.15</v>
      </c>
    </row>
    <row r="311" spans="1:18" ht="14.45">
      <c r="A311" s="3" t="s">
        <v>133</v>
      </c>
      <c r="B311" s="4">
        <v>45689</v>
      </c>
      <c r="C311" s="3" t="s">
        <v>58</v>
      </c>
      <c r="D311" s="3" t="s">
        <v>52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f t="shared" si="16"/>
        <v>1.1000000000000001</v>
      </c>
      <c r="L311" s="3">
        <f t="shared" si="17"/>
        <v>0</v>
      </c>
      <c r="M311" s="3">
        <v>0</v>
      </c>
      <c r="N311" s="3">
        <v>4.3</v>
      </c>
      <c r="O311" s="3">
        <f t="shared" si="18"/>
        <v>4.3</v>
      </c>
      <c r="P311" s="3">
        <f t="shared" si="19"/>
        <v>0</v>
      </c>
      <c r="Q311" s="3">
        <v>536524.84</v>
      </c>
      <c r="R311" s="3">
        <v>92752.94</v>
      </c>
    </row>
    <row r="312" spans="1:18" ht="14.45">
      <c r="A312" s="3" t="s">
        <v>133</v>
      </c>
      <c r="B312" s="4">
        <v>45717</v>
      </c>
      <c r="C312" s="3" t="s">
        <v>58</v>
      </c>
      <c r="D312" s="3" t="s">
        <v>52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f t="shared" si="16"/>
        <v>10.6</v>
      </c>
      <c r="L312" s="3">
        <f t="shared" si="17"/>
        <v>0</v>
      </c>
      <c r="M312" s="3">
        <v>0</v>
      </c>
      <c r="N312" s="3">
        <v>4.2</v>
      </c>
      <c r="O312" s="3">
        <f t="shared" si="18"/>
        <v>4.2</v>
      </c>
      <c r="P312" s="3">
        <f t="shared" si="19"/>
        <v>0</v>
      </c>
      <c r="Q312" s="3">
        <v>621677.30000000005</v>
      </c>
      <c r="R312" s="3">
        <v>105192.52</v>
      </c>
    </row>
    <row r="313" spans="1:18" ht="14.45">
      <c r="A313" s="3" t="s">
        <v>133</v>
      </c>
      <c r="B313" s="4">
        <v>45748</v>
      </c>
      <c r="C313" s="3" t="s">
        <v>58</v>
      </c>
      <c r="D313" s="3" t="s">
        <v>52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f t="shared" si="16"/>
        <v>0.9</v>
      </c>
      <c r="L313" s="3">
        <f t="shared" si="17"/>
        <v>0</v>
      </c>
      <c r="M313" s="3">
        <v>0</v>
      </c>
      <c r="N313" s="3"/>
      <c r="O313" s="3">
        <f t="shared" si="18"/>
        <v>3.9</v>
      </c>
      <c r="P313" s="3">
        <f t="shared" si="19"/>
        <v>1</v>
      </c>
      <c r="Q313" s="3">
        <v>771129.07</v>
      </c>
      <c r="R313" s="3">
        <v>116851.13</v>
      </c>
    </row>
    <row r="314" spans="1:18" ht="14.45">
      <c r="A314" s="3" t="s">
        <v>134</v>
      </c>
      <c r="B314" s="4">
        <v>45658</v>
      </c>
      <c r="C314" s="3" t="s">
        <v>54</v>
      </c>
      <c r="D314" s="3" t="s">
        <v>50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f t="shared" si="16"/>
        <v>0.2</v>
      </c>
      <c r="L314" s="3">
        <f t="shared" si="17"/>
        <v>0</v>
      </c>
      <c r="M314" s="3">
        <v>0</v>
      </c>
      <c r="N314" s="3">
        <v>3.4</v>
      </c>
      <c r="O314" s="3">
        <f t="shared" si="18"/>
        <v>3.4</v>
      </c>
      <c r="P314" s="3">
        <f t="shared" si="19"/>
        <v>0</v>
      </c>
      <c r="Q314" s="3">
        <v>702052.47</v>
      </c>
      <c r="R314" s="3">
        <v>121732.51</v>
      </c>
    </row>
    <row r="315" spans="1:18" ht="14.45">
      <c r="A315" s="3" t="s">
        <v>134</v>
      </c>
      <c r="B315" s="4">
        <v>45689</v>
      </c>
      <c r="C315" s="3" t="s">
        <v>54</v>
      </c>
      <c r="D315" s="3" t="s">
        <v>50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f t="shared" si="16"/>
        <v>4.67</v>
      </c>
      <c r="L315" s="3">
        <f t="shared" si="17"/>
        <v>0</v>
      </c>
      <c r="M315" s="3">
        <v>0</v>
      </c>
      <c r="N315" s="3"/>
      <c r="O315" s="3">
        <f t="shared" si="18"/>
        <v>3.9</v>
      </c>
      <c r="P315" s="3">
        <f t="shared" si="19"/>
        <v>1</v>
      </c>
      <c r="Q315" s="3">
        <v>688368.46</v>
      </c>
      <c r="R315" s="3">
        <v>93588.42</v>
      </c>
    </row>
    <row r="316" spans="1:18" ht="14.45">
      <c r="A316" s="3" t="s">
        <v>134</v>
      </c>
      <c r="B316" s="4">
        <v>45717</v>
      </c>
      <c r="C316" s="3" t="s">
        <v>54</v>
      </c>
      <c r="D316" s="3" t="s">
        <v>50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f t="shared" si="16"/>
        <v>4.38</v>
      </c>
      <c r="L316" s="3">
        <f t="shared" si="17"/>
        <v>0</v>
      </c>
      <c r="M316" s="3">
        <v>1</v>
      </c>
      <c r="N316" s="3">
        <v>3.9</v>
      </c>
      <c r="O316" s="3">
        <f t="shared" si="18"/>
        <v>3.9</v>
      </c>
      <c r="P316" s="3">
        <f t="shared" si="19"/>
        <v>0</v>
      </c>
      <c r="Q316" s="3">
        <v>712375.77</v>
      </c>
      <c r="R316" s="3">
        <v>104171.53</v>
      </c>
    </row>
    <row r="317" spans="1:18" ht="14.45">
      <c r="A317" s="3" t="s">
        <v>134</v>
      </c>
      <c r="B317" s="4">
        <v>45748</v>
      </c>
      <c r="C317" s="3" t="s">
        <v>54</v>
      </c>
      <c r="D317" s="3" t="s">
        <v>50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f t="shared" si="16"/>
        <v>4.4800000000000004</v>
      </c>
      <c r="L317" s="3">
        <f t="shared" si="17"/>
        <v>0</v>
      </c>
      <c r="M317" s="3">
        <v>0</v>
      </c>
      <c r="N317" s="3">
        <v>4.2</v>
      </c>
      <c r="O317" s="3">
        <f t="shared" si="18"/>
        <v>4.2</v>
      </c>
      <c r="P317" s="3">
        <f t="shared" si="19"/>
        <v>0</v>
      </c>
      <c r="Q317" s="3">
        <v>844710.67</v>
      </c>
      <c r="R317" s="3">
        <v>137140.18</v>
      </c>
    </row>
    <row r="318" spans="1:18" ht="14.45">
      <c r="A318" s="3" t="s">
        <v>135</v>
      </c>
      <c r="B318" s="4">
        <v>45658</v>
      </c>
      <c r="C318" s="3" t="s">
        <v>49</v>
      </c>
      <c r="D318" s="3" t="s">
        <v>50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f t="shared" si="16"/>
        <v>1.02</v>
      </c>
      <c r="L318" s="3">
        <f t="shared" si="17"/>
        <v>0</v>
      </c>
      <c r="M318" s="3">
        <v>1</v>
      </c>
      <c r="N318" s="3">
        <v>4</v>
      </c>
      <c r="O318" s="3">
        <f t="shared" si="18"/>
        <v>4</v>
      </c>
      <c r="P318" s="3">
        <f t="shared" si="19"/>
        <v>0</v>
      </c>
      <c r="Q318" s="3">
        <v>620264.19999999995</v>
      </c>
      <c r="R318" s="3">
        <v>91365.64</v>
      </c>
    </row>
    <row r="319" spans="1:18" ht="14.45">
      <c r="A319" s="3" t="s">
        <v>135</v>
      </c>
      <c r="B319" s="4">
        <v>45689</v>
      </c>
      <c r="C319" s="3" t="s">
        <v>49</v>
      </c>
      <c r="D319" s="3" t="s">
        <v>50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f t="shared" si="16"/>
        <v>0.2</v>
      </c>
      <c r="L319" s="3">
        <f t="shared" si="17"/>
        <v>0</v>
      </c>
      <c r="M319" s="3">
        <v>0</v>
      </c>
      <c r="N319" s="3">
        <v>3.8</v>
      </c>
      <c r="O319" s="3">
        <f t="shared" si="18"/>
        <v>3.8</v>
      </c>
      <c r="P319" s="3">
        <f t="shared" si="19"/>
        <v>0</v>
      </c>
      <c r="Q319" s="3">
        <v>536845.42000000004</v>
      </c>
      <c r="R319" s="3">
        <v>107473.75</v>
      </c>
    </row>
    <row r="320" spans="1:18" ht="14.45">
      <c r="A320" s="3" t="s">
        <v>135</v>
      </c>
      <c r="B320" s="4">
        <v>45717</v>
      </c>
      <c r="C320" s="3" t="s">
        <v>49</v>
      </c>
      <c r="D320" s="3" t="s">
        <v>50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f t="shared" si="16"/>
        <v>4.8899999999999997</v>
      </c>
      <c r="L320" s="3">
        <f t="shared" si="17"/>
        <v>0</v>
      </c>
      <c r="M320" s="3">
        <v>1</v>
      </c>
      <c r="N320" s="3">
        <v>4.2</v>
      </c>
      <c r="O320" s="3">
        <f t="shared" si="18"/>
        <v>4.2</v>
      </c>
      <c r="P320" s="3">
        <f t="shared" si="19"/>
        <v>0</v>
      </c>
      <c r="Q320" s="3">
        <v>726776.22</v>
      </c>
      <c r="R320" s="3">
        <v>90804.49</v>
      </c>
    </row>
    <row r="321" spans="1:18" ht="14.45">
      <c r="A321" s="3" t="s">
        <v>135</v>
      </c>
      <c r="B321" s="4">
        <v>45748</v>
      </c>
      <c r="C321" s="3" t="s">
        <v>49</v>
      </c>
      <c r="D321" s="3" t="s">
        <v>50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f t="shared" si="16"/>
        <v>11.82</v>
      </c>
      <c r="L321" s="3">
        <f t="shared" si="17"/>
        <v>0</v>
      </c>
      <c r="M321" s="3">
        <v>0</v>
      </c>
      <c r="N321" s="3">
        <v>4.0999999999999996</v>
      </c>
      <c r="O321" s="3">
        <f t="shared" si="18"/>
        <v>4.0999999999999996</v>
      </c>
      <c r="P321" s="3">
        <f t="shared" si="19"/>
        <v>0</v>
      </c>
      <c r="Q321" s="3">
        <v>559660.84</v>
      </c>
      <c r="R321" s="3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89F4-E027-44B5-B877-8A1377309BBF}">
  <dimension ref="A1:Y321"/>
  <sheetViews>
    <sheetView topLeftCell="U1" zoomScaleNormal="100" zoomScaleSheetLayoutView="100" workbookViewId="0">
      <selection activeCell="O12" sqref="O12"/>
    </sheetView>
  </sheetViews>
  <sheetFormatPr defaultRowHeight="13.9"/>
  <cols>
    <col min="1" max="25" width="16" customWidth="1"/>
  </cols>
  <sheetData>
    <row r="1" spans="1:25" ht="27.95" customHeight="1">
      <c r="A1" s="2" t="s">
        <v>34</v>
      </c>
      <c r="B1" s="2" t="s">
        <v>35</v>
      </c>
      <c r="C1" s="2" t="s">
        <v>36</v>
      </c>
      <c r="D1" s="2" t="s">
        <v>37</v>
      </c>
      <c r="E1" s="2" t="s">
        <v>19</v>
      </c>
      <c r="F1" s="2" t="s">
        <v>14</v>
      </c>
      <c r="G1" s="2" t="s">
        <v>23</v>
      </c>
      <c r="H1" s="2" t="s">
        <v>38</v>
      </c>
      <c r="I1" s="2" t="s">
        <v>39</v>
      </c>
      <c r="J1" s="2" t="s">
        <v>40</v>
      </c>
      <c r="K1" s="5" t="s">
        <v>41</v>
      </c>
      <c r="L1" s="5" t="s">
        <v>42</v>
      </c>
      <c r="M1" s="2" t="s">
        <v>43</v>
      </c>
      <c r="N1" s="2" t="s">
        <v>44</v>
      </c>
      <c r="O1" s="5" t="s">
        <v>45</v>
      </c>
      <c r="P1" s="5" t="s">
        <v>46</v>
      </c>
      <c r="Q1" s="2" t="s">
        <v>13</v>
      </c>
      <c r="R1" s="2" t="s">
        <v>47</v>
      </c>
      <c r="S1" s="6" t="s">
        <v>136</v>
      </c>
      <c r="T1" s="6" t="s">
        <v>137</v>
      </c>
      <c r="U1" s="6" t="s">
        <v>138</v>
      </c>
      <c r="V1" s="6" t="s">
        <v>139</v>
      </c>
      <c r="W1" s="6" t="s">
        <v>140</v>
      </c>
      <c r="X1" s="6" t="s">
        <v>141</v>
      </c>
      <c r="Y1" s="6" t="s">
        <v>142</v>
      </c>
    </row>
    <row r="2" spans="1:25" ht="14.45">
      <c r="A2" s="3" t="s">
        <v>48</v>
      </c>
      <c r="B2" s="4">
        <v>45658</v>
      </c>
      <c r="C2" s="3" t="s">
        <v>49</v>
      </c>
      <c r="D2" s="3" t="s">
        <v>50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f>IF(ISBLANK(J2),MEDIAN($J$2:$J$321),J2)</f>
        <v>5.28</v>
      </c>
      <c r="L2" s="3">
        <f>IF(ISBLANK(J2),1,0)</f>
        <v>0</v>
      </c>
      <c r="M2" s="3">
        <v>1</v>
      </c>
      <c r="N2" s="3">
        <v>3.1</v>
      </c>
      <c r="O2" s="3">
        <f>IF(ISBLANK(N2),MEDIAN($N$2:$N$321),N2)</f>
        <v>3.1</v>
      </c>
      <c r="P2" s="3">
        <f>IF(ISBLANK(N2),1,0)</f>
        <v>0</v>
      </c>
      <c r="Q2" s="3">
        <v>658832.62</v>
      </c>
      <c r="R2" s="3">
        <v>84349.93</v>
      </c>
      <c r="S2" s="3">
        <f>IF(D2="High Street",1,0)</f>
        <v>0</v>
      </c>
      <c r="T2" s="3">
        <f>IF(D2="Mall",1,0)</f>
        <v>0</v>
      </c>
      <c r="U2" s="3">
        <f>IF(D2="Residential",1,0)</f>
        <v>1</v>
      </c>
      <c r="V2" s="3">
        <f>IF(C2="North",1,0)</f>
        <v>0</v>
      </c>
      <c r="W2" s="3">
        <f>IF(C2="South",1,0)</f>
        <v>0</v>
      </c>
      <c r="X2" s="3">
        <f>IF(C2="West",1,0)</f>
        <v>0</v>
      </c>
      <c r="Y2" s="3">
        <f>IF(C2="East",1,0)</f>
        <v>1</v>
      </c>
    </row>
    <row r="3" spans="1:25" ht="14.45">
      <c r="A3" s="3" t="s">
        <v>48</v>
      </c>
      <c r="B3" s="4">
        <v>45689</v>
      </c>
      <c r="C3" s="3" t="s">
        <v>49</v>
      </c>
      <c r="D3" s="3" t="s">
        <v>50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f t="shared" ref="K3:K66" si="0">IF(ISBLANK(J3),MEDIAN($J$2:$J$321),J3)</f>
        <v>4.3099999999999996</v>
      </c>
      <c r="L3" s="3">
        <f t="shared" ref="L3:L66" si="1">IF(ISBLANK(J3),1,0)</f>
        <v>0</v>
      </c>
      <c r="M3" s="3">
        <v>0</v>
      </c>
      <c r="N3" s="3">
        <v>2.8</v>
      </c>
      <c r="O3" s="3">
        <f t="shared" ref="O3:O66" si="2">IF(ISBLANK(N3),MEDIAN($N$2:$N$321),N3)</f>
        <v>2.8</v>
      </c>
      <c r="P3" s="3">
        <f t="shared" ref="P3:P66" si="3">IF(ISBLANK(N3),1,0)</f>
        <v>0</v>
      </c>
      <c r="Q3" s="3">
        <v>634436</v>
      </c>
      <c r="R3" s="3">
        <v>106130.54</v>
      </c>
      <c r="S3" s="3">
        <f t="shared" ref="S3:S66" si="4">IF(D3="High Street",1,0)</f>
        <v>0</v>
      </c>
      <c r="T3" s="3">
        <f t="shared" ref="T3:T66" si="5">IF(D3="Mall",1,0)</f>
        <v>0</v>
      </c>
      <c r="U3" s="3">
        <f t="shared" ref="U3:U66" si="6">IF(D3="Residential",1,0)</f>
        <v>1</v>
      </c>
      <c r="V3" s="3">
        <f t="shared" ref="V3:V66" si="7">IF(C3="North",1,0)</f>
        <v>0</v>
      </c>
      <c r="W3" s="3">
        <f t="shared" ref="W3:W66" si="8">IF(C3="South",1,0)</f>
        <v>0</v>
      </c>
      <c r="X3" s="3">
        <f t="shared" ref="X3:X66" si="9">IF(C3="West",1,0)</f>
        <v>0</v>
      </c>
      <c r="Y3" s="3">
        <f t="shared" ref="Y3:Y66" si="10">IF(C3="East",1,0)</f>
        <v>1</v>
      </c>
    </row>
    <row r="4" spans="1:25" ht="14.45">
      <c r="A4" s="3" t="s">
        <v>48</v>
      </c>
      <c r="B4" s="4">
        <v>45717</v>
      </c>
      <c r="C4" s="3" t="s">
        <v>49</v>
      </c>
      <c r="D4" s="3" t="s">
        <v>50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f t="shared" si="0"/>
        <v>12</v>
      </c>
      <c r="L4" s="3">
        <f t="shared" si="1"/>
        <v>0</v>
      </c>
      <c r="M4" s="3">
        <v>0</v>
      </c>
      <c r="N4" s="3">
        <v>3.2</v>
      </c>
      <c r="O4" s="3">
        <f t="shared" si="2"/>
        <v>3.2</v>
      </c>
      <c r="P4" s="3">
        <f t="shared" si="3"/>
        <v>0</v>
      </c>
      <c r="Q4" s="3">
        <v>678722.06</v>
      </c>
      <c r="R4" s="3">
        <v>101883.86</v>
      </c>
      <c r="S4" s="3">
        <f t="shared" si="4"/>
        <v>0</v>
      </c>
      <c r="T4" s="3">
        <f t="shared" si="5"/>
        <v>0</v>
      </c>
      <c r="U4" s="3">
        <f t="shared" si="6"/>
        <v>1</v>
      </c>
      <c r="V4" s="3">
        <f t="shared" si="7"/>
        <v>0</v>
      </c>
      <c r="W4" s="3">
        <f t="shared" si="8"/>
        <v>0</v>
      </c>
      <c r="X4" s="3">
        <f t="shared" si="9"/>
        <v>0</v>
      </c>
      <c r="Y4" s="3">
        <f t="shared" si="10"/>
        <v>1</v>
      </c>
    </row>
    <row r="5" spans="1:25" ht="14.45">
      <c r="A5" s="3" t="s">
        <v>48</v>
      </c>
      <c r="B5" s="4">
        <v>45748</v>
      </c>
      <c r="C5" s="3" t="s">
        <v>49</v>
      </c>
      <c r="D5" s="3" t="s">
        <v>50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f t="shared" si="0"/>
        <v>4.97</v>
      </c>
      <c r="L5" s="3">
        <f t="shared" si="1"/>
        <v>0</v>
      </c>
      <c r="M5" s="3">
        <v>0</v>
      </c>
      <c r="N5" s="3">
        <v>3.4</v>
      </c>
      <c r="O5" s="3">
        <f t="shared" si="2"/>
        <v>3.4</v>
      </c>
      <c r="P5" s="3">
        <f t="shared" si="3"/>
        <v>0</v>
      </c>
      <c r="Q5" s="3">
        <v>658920.30000000005</v>
      </c>
      <c r="R5" s="3">
        <v>97910.37</v>
      </c>
      <c r="S5" s="3">
        <f t="shared" si="4"/>
        <v>0</v>
      </c>
      <c r="T5" s="3">
        <f t="shared" si="5"/>
        <v>0</v>
      </c>
      <c r="U5" s="3">
        <f t="shared" si="6"/>
        <v>1</v>
      </c>
      <c r="V5" s="3">
        <f t="shared" si="7"/>
        <v>0</v>
      </c>
      <c r="W5" s="3">
        <f t="shared" si="8"/>
        <v>0</v>
      </c>
      <c r="X5" s="3">
        <f t="shared" si="9"/>
        <v>0</v>
      </c>
      <c r="Y5" s="3">
        <f t="shared" si="10"/>
        <v>1</v>
      </c>
    </row>
    <row r="6" spans="1:25" ht="14.45">
      <c r="A6" s="3" t="s">
        <v>51</v>
      </c>
      <c r="B6" s="4">
        <v>45658</v>
      </c>
      <c r="C6" s="3" t="s">
        <v>49</v>
      </c>
      <c r="D6" s="3" t="s">
        <v>52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f t="shared" si="0"/>
        <v>6.94</v>
      </c>
      <c r="L6" s="3">
        <f t="shared" si="1"/>
        <v>0</v>
      </c>
      <c r="M6" s="3">
        <v>1</v>
      </c>
      <c r="N6" s="3">
        <v>4.2</v>
      </c>
      <c r="O6" s="3">
        <f t="shared" si="2"/>
        <v>4.2</v>
      </c>
      <c r="P6" s="3">
        <f t="shared" si="3"/>
        <v>0</v>
      </c>
      <c r="Q6" s="3">
        <v>741341.44</v>
      </c>
      <c r="R6" s="3">
        <v>119208.17</v>
      </c>
      <c r="S6" s="3">
        <f t="shared" si="4"/>
        <v>1</v>
      </c>
      <c r="T6" s="3">
        <f t="shared" si="5"/>
        <v>0</v>
      </c>
      <c r="U6" s="3">
        <f t="shared" si="6"/>
        <v>0</v>
      </c>
      <c r="V6" s="3">
        <f t="shared" si="7"/>
        <v>0</v>
      </c>
      <c r="W6" s="3">
        <f t="shared" si="8"/>
        <v>0</v>
      </c>
      <c r="X6" s="3">
        <f t="shared" si="9"/>
        <v>0</v>
      </c>
      <c r="Y6" s="3">
        <f t="shared" si="10"/>
        <v>1</v>
      </c>
    </row>
    <row r="7" spans="1:25" ht="14.45">
      <c r="A7" s="3" t="s">
        <v>51</v>
      </c>
      <c r="B7" s="4">
        <v>45689</v>
      </c>
      <c r="C7" s="3" t="s">
        <v>49</v>
      </c>
      <c r="D7" s="3" t="s">
        <v>52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f t="shared" si="0"/>
        <v>2.88</v>
      </c>
      <c r="L7" s="3">
        <f t="shared" si="1"/>
        <v>0</v>
      </c>
      <c r="M7" s="3">
        <v>0</v>
      </c>
      <c r="N7" s="3">
        <v>4.2</v>
      </c>
      <c r="O7" s="3">
        <f t="shared" si="2"/>
        <v>4.2</v>
      </c>
      <c r="P7" s="3">
        <f t="shared" si="3"/>
        <v>0</v>
      </c>
      <c r="Q7" s="3">
        <v>761835.34</v>
      </c>
      <c r="R7" s="3">
        <v>149602.23000000001</v>
      </c>
      <c r="S7" s="3">
        <f t="shared" si="4"/>
        <v>1</v>
      </c>
      <c r="T7" s="3">
        <f t="shared" si="5"/>
        <v>0</v>
      </c>
      <c r="U7" s="3">
        <f t="shared" si="6"/>
        <v>0</v>
      </c>
      <c r="V7" s="3">
        <f t="shared" si="7"/>
        <v>0</v>
      </c>
      <c r="W7" s="3">
        <f t="shared" si="8"/>
        <v>0</v>
      </c>
      <c r="X7" s="3">
        <f t="shared" si="9"/>
        <v>0</v>
      </c>
      <c r="Y7" s="3">
        <f t="shared" si="10"/>
        <v>1</v>
      </c>
    </row>
    <row r="8" spans="1:25" ht="14.45">
      <c r="A8" s="3" t="s">
        <v>51</v>
      </c>
      <c r="B8" s="4">
        <v>45717</v>
      </c>
      <c r="C8" s="3" t="s">
        <v>49</v>
      </c>
      <c r="D8" s="3" t="s">
        <v>52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f t="shared" si="0"/>
        <v>0.2</v>
      </c>
      <c r="L8" s="3">
        <f t="shared" si="1"/>
        <v>0</v>
      </c>
      <c r="M8" s="3">
        <v>1</v>
      </c>
      <c r="N8" s="3">
        <v>4.0999999999999996</v>
      </c>
      <c r="O8" s="3">
        <f t="shared" si="2"/>
        <v>4.0999999999999996</v>
      </c>
      <c r="P8" s="3">
        <f t="shared" si="3"/>
        <v>0</v>
      </c>
      <c r="Q8" s="3">
        <v>806615.54</v>
      </c>
      <c r="R8" s="3">
        <v>131364.62</v>
      </c>
      <c r="S8" s="3">
        <f t="shared" si="4"/>
        <v>1</v>
      </c>
      <c r="T8" s="3">
        <f t="shared" si="5"/>
        <v>0</v>
      </c>
      <c r="U8" s="3">
        <f t="shared" si="6"/>
        <v>0</v>
      </c>
      <c r="V8" s="3">
        <f t="shared" si="7"/>
        <v>0</v>
      </c>
      <c r="W8" s="3">
        <f t="shared" si="8"/>
        <v>0</v>
      </c>
      <c r="X8" s="3">
        <f t="shared" si="9"/>
        <v>0</v>
      </c>
      <c r="Y8" s="3">
        <f t="shared" si="10"/>
        <v>1</v>
      </c>
    </row>
    <row r="9" spans="1:25" ht="14.45">
      <c r="A9" s="3" t="s">
        <v>51</v>
      </c>
      <c r="B9" s="4">
        <v>45748</v>
      </c>
      <c r="C9" s="3" t="s">
        <v>49</v>
      </c>
      <c r="D9" s="3" t="s">
        <v>52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f t="shared" si="0"/>
        <v>0.8</v>
      </c>
      <c r="L9" s="3">
        <f t="shared" si="1"/>
        <v>0</v>
      </c>
      <c r="M9" s="3">
        <v>0</v>
      </c>
      <c r="N9" s="3">
        <v>3.9</v>
      </c>
      <c r="O9" s="3">
        <f t="shared" si="2"/>
        <v>3.9</v>
      </c>
      <c r="P9" s="3">
        <f t="shared" si="3"/>
        <v>0</v>
      </c>
      <c r="Q9" s="3">
        <v>850164.26</v>
      </c>
      <c r="R9" s="3">
        <v>149262.75</v>
      </c>
      <c r="S9" s="3">
        <f t="shared" si="4"/>
        <v>1</v>
      </c>
      <c r="T9" s="3">
        <f t="shared" si="5"/>
        <v>0</v>
      </c>
      <c r="U9" s="3">
        <f t="shared" si="6"/>
        <v>0</v>
      </c>
      <c r="V9" s="3">
        <f t="shared" si="7"/>
        <v>0</v>
      </c>
      <c r="W9" s="3">
        <f t="shared" si="8"/>
        <v>0</v>
      </c>
      <c r="X9" s="3">
        <f t="shared" si="9"/>
        <v>0</v>
      </c>
      <c r="Y9" s="3">
        <f t="shared" si="10"/>
        <v>1</v>
      </c>
    </row>
    <row r="10" spans="1:25" ht="14.45">
      <c r="A10" s="3" t="s">
        <v>53</v>
      </c>
      <c r="B10" s="4">
        <v>45658</v>
      </c>
      <c r="C10" s="3" t="s">
        <v>54</v>
      </c>
      <c r="D10" s="3" t="s">
        <v>55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f t="shared" si="0"/>
        <v>7.7</v>
      </c>
      <c r="L10" s="3">
        <f t="shared" si="1"/>
        <v>0</v>
      </c>
      <c r="M10" s="3">
        <v>1</v>
      </c>
      <c r="N10" s="3">
        <v>3.8</v>
      </c>
      <c r="O10" s="3">
        <f t="shared" si="2"/>
        <v>3.8</v>
      </c>
      <c r="P10" s="3">
        <f t="shared" si="3"/>
        <v>0</v>
      </c>
      <c r="Q10" s="3">
        <v>930581.7</v>
      </c>
      <c r="R10" s="3">
        <v>136207.98000000001</v>
      </c>
      <c r="S10" s="3">
        <f t="shared" si="4"/>
        <v>0</v>
      </c>
      <c r="T10" s="3">
        <f t="shared" si="5"/>
        <v>0</v>
      </c>
      <c r="U10" s="3">
        <f t="shared" si="6"/>
        <v>0</v>
      </c>
      <c r="V10" s="3">
        <f t="shared" si="7"/>
        <v>1</v>
      </c>
      <c r="W10" s="3">
        <f t="shared" si="8"/>
        <v>0</v>
      </c>
      <c r="X10" s="3">
        <f t="shared" si="9"/>
        <v>0</v>
      </c>
      <c r="Y10" s="3">
        <f t="shared" si="10"/>
        <v>0</v>
      </c>
    </row>
    <row r="11" spans="1:25" ht="14.45">
      <c r="A11" s="3" t="s">
        <v>53</v>
      </c>
      <c r="B11" s="4">
        <v>45689</v>
      </c>
      <c r="C11" s="3" t="s">
        <v>54</v>
      </c>
      <c r="D11" s="3" t="s">
        <v>55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f t="shared" si="0"/>
        <v>1.91</v>
      </c>
      <c r="L11" s="3">
        <f t="shared" si="1"/>
        <v>0</v>
      </c>
      <c r="M11" s="3">
        <v>0</v>
      </c>
      <c r="N11" s="3">
        <v>4.2</v>
      </c>
      <c r="O11" s="3">
        <f t="shared" si="2"/>
        <v>4.2</v>
      </c>
      <c r="P11" s="3">
        <f t="shared" si="3"/>
        <v>0</v>
      </c>
      <c r="Q11" s="3">
        <v>779010.94</v>
      </c>
      <c r="R11" s="3">
        <v>106328.09</v>
      </c>
      <c r="S11" s="3">
        <f t="shared" si="4"/>
        <v>0</v>
      </c>
      <c r="T11" s="3">
        <f t="shared" si="5"/>
        <v>0</v>
      </c>
      <c r="U11" s="3">
        <f t="shared" si="6"/>
        <v>0</v>
      </c>
      <c r="V11" s="3">
        <f t="shared" si="7"/>
        <v>1</v>
      </c>
      <c r="W11" s="3">
        <f t="shared" si="8"/>
        <v>0</v>
      </c>
      <c r="X11" s="3">
        <f t="shared" si="9"/>
        <v>0</v>
      </c>
      <c r="Y11" s="3">
        <f t="shared" si="10"/>
        <v>0</v>
      </c>
    </row>
    <row r="12" spans="1:25" ht="14.45">
      <c r="A12" s="3" t="s">
        <v>53</v>
      </c>
      <c r="B12" s="4">
        <v>45717</v>
      </c>
      <c r="C12" s="3" t="s">
        <v>54</v>
      </c>
      <c r="D12" s="3" t="s">
        <v>55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f t="shared" si="0"/>
        <v>10.46</v>
      </c>
      <c r="L12" s="3">
        <f t="shared" si="1"/>
        <v>0</v>
      </c>
      <c r="M12" s="3">
        <v>1</v>
      </c>
      <c r="N12" s="3">
        <v>3.8</v>
      </c>
      <c r="O12" s="3">
        <f t="shared" si="2"/>
        <v>3.8</v>
      </c>
      <c r="P12" s="3">
        <f t="shared" si="3"/>
        <v>0</v>
      </c>
      <c r="Q12" s="3">
        <v>723060.76</v>
      </c>
      <c r="R12" s="3">
        <v>123131.24</v>
      </c>
      <c r="S12" s="3">
        <f t="shared" si="4"/>
        <v>0</v>
      </c>
      <c r="T12" s="3">
        <f t="shared" si="5"/>
        <v>0</v>
      </c>
      <c r="U12" s="3">
        <f t="shared" si="6"/>
        <v>0</v>
      </c>
      <c r="V12" s="3">
        <f t="shared" si="7"/>
        <v>1</v>
      </c>
      <c r="W12" s="3">
        <f t="shared" si="8"/>
        <v>0</v>
      </c>
      <c r="X12" s="3">
        <f t="shared" si="9"/>
        <v>0</v>
      </c>
      <c r="Y12" s="3">
        <f t="shared" si="10"/>
        <v>0</v>
      </c>
    </row>
    <row r="13" spans="1:25" ht="14.45">
      <c r="A13" s="3" t="s">
        <v>53</v>
      </c>
      <c r="B13" s="4">
        <v>45748</v>
      </c>
      <c r="C13" s="3" t="s">
        <v>54</v>
      </c>
      <c r="D13" s="3" t="s">
        <v>55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f t="shared" si="0"/>
        <v>7.16</v>
      </c>
      <c r="L13" s="3">
        <f t="shared" si="1"/>
        <v>0</v>
      </c>
      <c r="M13" s="3">
        <v>0</v>
      </c>
      <c r="N13" s="3">
        <v>3.8</v>
      </c>
      <c r="O13" s="3">
        <f t="shared" si="2"/>
        <v>3.8</v>
      </c>
      <c r="P13" s="3">
        <f t="shared" si="3"/>
        <v>0</v>
      </c>
      <c r="Q13" s="3">
        <v>910791.94</v>
      </c>
      <c r="R13" s="3">
        <v>158891.28</v>
      </c>
      <c r="S13" s="3">
        <f t="shared" si="4"/>
        <v>0</v>
      </c>
      <c r="T13" s="3">
        <f t="shared" si="5"/>
        <v>0</v>
      </c>
      <c r="U13" s="3">
        <f t="shared" si="6"/>
        <v>0</v>
      </c>
      <c r="V13" s="3">
        <f t="shared" si="7"/>
        <v>1</v>
      </c>
      <c r="W13" s="3">
        <f t="shared" si="8"/>
        <v>0</v>
      </c>
      <c r="X13" s="3">
        <f t="shared" si="9"/>
        <v>0</v>
      </c>
      <c r="Y13" s="3">
        <f t="shared" si="10"/>
        <v>0</v>
      </c>
    </row>
    <row r="14" spans="1:25" ht="14.45">
      <c r="A14" s="3" t="s">
        <v>56</v>
      </c>
      <c r="B14" s="4">
        <v>45658</v>
      </c>
      <c r="C14" s="3" t="s">
        <v>49</v>
      </c>
      <c r="D14" s="3" t="s">
        <v>50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f t="shared" si="0"/>
        <v>4.24</v>
      </c>
      <c r="L14" s="3">
        <f t="shared" si="1"/>
        <v>0</v>
      </c>
      <c r="M14" s="3">
        <v>1</v>
      </c>
      <c r="N14" s="3">
        <v>4.2</v>
      </c>
      <c r="O14" s="3">
        <f t="shared" si="2"/>
        <v>4.2</v>
      </c>
      <c r="P14" s="3">
        <f t="shared" si="3"/>
        <v>0</v>
      </c>
      <c r="Q14" s="3">
        <v>922168.6</v>
      </c>
      <c r="R14" s="3">
        <v>107494.53</v>
      </c>
      <c r="S14" s="3">
        <f t="shared" si="4"/>
        <v>0</v>
      </c>
      <c r="T14" s="3">
        <f t="shared" si="5"/>
        <v>0</v>
      </c>
      <c r="U14" s="3">
        <f t="shared" si="6"/>
        <v>1</v>
      </c>
      <c r="V14" s="3">
        <f t="shared" si="7"/>
        <v>0</v>
      </c>
      <c r="W14" s="3">
        <f t="shared" si="8"/>
        <v>0</v>
      </c>
      <c r="X14" s="3">
        <f t="shared" si="9"/>
        <v>0</v>
      </c>
      <c r="Y14" s="3">
        <f t="shared" si="10"/>
        <v>1</v>
      </c>
    </row>
    <row r="15" spans="1:25" ht="14.45">
      <c r="A15" s="3" t="s">
        <v>56</v>
      </c>
      <c r="B15" s="4">
        <v>45689</v>
      </c>
      <c r="C15" s="3" t="s">
        <v>49</v>
      </c>
      <c r="D15" s="3" t="s">
        <v>50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f t="shared" si="0"/>
        <v>1.06</v>
      </c>
      <c r="L15" s="3">
        <f t="shared" si="1"/>
        <v>0</v>
      </c>
      <c r="M15" s="3">
        <v>0</v>
      </c>
      <c r="N15" s="3">
        <v>4.3</v>
      </c>
      <c r="O15" s="3">
        <f t="shared" si="2"/>
        <v>4.3</v>
      </c>
      <c r="P15" s="3">
        <f t="shared" si="3"/>
        <v>0</v>
      </c>
      <c r="Q15" s="3">
        <v>726606.28</v>
      </c>
      <c r="R15" s="3">
        <v>122729.29</v>
      </c>
      <c r="S15" s="3">
        <f t="shared" si="4"/>
        <v>0</v>
      </c>
      <c r="T15" s="3">
        <f t="shared" si="5"/>
        <v>0</v>
      </c>
      <c r="U15" s="3">
        <f t="shared" si="6"/>
        <v>1</v>
      </c>
      <c r="V15" s="3">
        <f t="shared" si="7"/>
        <v>0</v>
      </c>
      <c r="W15" s="3">
        <f t="shared" si="8"/>
        <v>0</v>
      </c>
      <c r="X15" s="3">
        <f t="shared" si="9"/>
        <v>0</v>
      </c>
      <c r="Y15" s="3">
        <f t="shared" si="10"/>
        <v>1</v>
      </c>
    </row>
    <row r="16" spans="1:25" ht="14.45">
      <c r="A16" s="3" t="s">
        <v>56</v>
      </c>
      <c r="B16" s="4">
        <v>45717</v>
      </c>
      <c r="C16" s="3" t="s">
        <v>49</v>
      </c>
      <c r="D16" s="3" t="s">
        <v>50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f t="shared" si="0"/>
        <v>0.27</v>
      </c>
      <c r="L16" s="3">
        <f t="shared" si="1"/>
        <v>0</v>
      </c>
      <c r="M16" s="3">
        <v>0</v>
      </c>
      <c r="N16" s="3">
        <v>4.3</v>
      </c>
      <c r="O16" s="3">
        <f t="shared" si="2"/>
        <v>4.3</v>
      </c>
      <c r="P16" s="3">
        <f t="shared" si="3"/>
        <v>0</v>
      </c>
      <c r="Q16" s="3">
        <v>746501.09</v>
      </c>
      <c r="R16" s="3">
        <v>136816.72</v>
      </c>
      <c r="S16" s="3">
        <f t="shared" si="4"/>
        <v>0</v>
      </c>
      <c r="T16" s="3">
        <f t="shared" si="5"/>
        <v>0</v>
      </c>
      <c r="U16" s="3">
        <f t="shared" si="6"/>
        <v>1</v>
      </c>
      <c r="V16" s="3">
        <f t="shared" si="7"/>
        <v>0</v>
      </c>
      <c r="W16" s="3">
        <f t="shared" si="8"/>
        <v>0</v>
      </c>
      <c r="X16" s="3">
        <f t="shared" si="9"/>
        <v>0</v>
      </c>
      <c r="Y16" s="3">
        <f t="shared" si="10"/>
        <v>1</v>
      </c>
    </row>
    <row r="17" spans="1:25" ht="14.45">
      <c r="A17" s="3" t="s">
        <v>56</v>
      </c>
      <c r="B17" s="4">
        <v>45748</v>
      </c>
      <c r="C17" s="3" t="s">
        <v>49</v>
      </c>
      <c r="D17" s="3" t="s">
        <v>50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f t="shared" si="0"/>
        <v>1.32</v>
      </c>
      <c r="L17" s="3">
        <f t="shared" si="1"/>
        <v>0</v>
      </c>
      <c r="M17" s="3">
        <v>0</v>
      </c>
      <c r="N17" s="3">
        <v>4.5</v>
      </c>
      <c r="O17" s="3">
        <f t="shared" si="2"/>
        <v>4.5</v>
      </c>
      <c r="P17" s="3">
        <f t="shared" si="3"/>
        <v>0</v>
      </c>
      <c r="Q17" s="3">
        <v>834017.02</v>
      </c>
      <c r="R17" s="3">
        <v>114745.03</v>
      </c>
      <c r="S17" s="3">
        <f t="shared" si="4"/>
        <v>0</v>
      </c>
      <c r="T17" s="3">
        <f t="shared" si="5"/>
        <v>0</v>
      </c>
      <c r="U17" s="3">
        <f t="shared" si="6"/>
        <v>1</v>
      </c>
      <c r="V17" s="3">
        <f t="shared" si="7"/>
        <v>0</v>
      </c>
      <c r="W17" s="3">
        <f t="shared" si="8"/>
        <v>0</v>
      </c>
      <c r="X17" s="3">
        <f t="shared" si="9"/>
        <v>0</v>
      </c>
      <c r="Y17" s="3">
        <f t="shared" si="10"/>
        <v>1</v>
      </c>
    </row>
    <row r="18" spans="1:25" ht="14.45">
      <c r="A18" s="3" t="s">
        <v>57</v>
      </c>
      <c r="B18" s="4">
        <v>45658</v>
      </c>
      <c r="C18" s="3" t="s">
        <v>58</v>
      </c>
      <c r="D18" s="3" t="s">
        <v>50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f t="shared" si="0"/>
        <v>1.22</v>
      </c>
      <c r="L18" s="3">
        <f t="shared" si="1"/>
        <v>0</v>
      </c>
      <c r="M18" s="3">
        <v>0</v>
      </c>
      <c r="N18" s="3">
        <v>3.7</v>
      </c>
      <c r="O18" s="3">
        <f t="shared" si="2"/>
        <v>3.7</v>
      </c>
      <c r="P18" s="3">
        <f t="shared" si="3"/>
        <v>0</v>
      </c>
      <c r="Q18" s="3">
        <v>666152.52</v>
      </c>
      <c r="R18" s="3">
        <v>107490.58</v>
      </c>
      <c r="S18" s="3">
        <f t="shared" si="4"/>
        <v>0</v>
      </c>
      <c r="T18" s="3">
        <f t="shared" si="5"/>
        <v>0</v>
      </c>
      <c r="U18" s="3">
        <f t="shared" si="6"/>
        <v>1</v>
      </c>
      <c r="V18" s="3">
        <f t="shared" si="7"/>
        <v>0</v>
      </c>
      <c r="W18" s="3">
        <f t="shared" si="8"/>
        <v>1</v>
      </c>
      <c r="X18" s="3">
        <f t="shared" si="9"/>
        <v>0</v>
      </c>
      <c r="Y18" s="3">
        <f t="shared" si="10"/>
        <v>0</v>
      </c>
    </row>
    <row r="19" spans="1:25" ht="14.45">
      <c r="A19" s="3" t="s">
        <v>57</v>
      </c>
      <c r="B19" s="4">
        <v>45689</v>
      </c>
      <c r="C19" s="3" t="s">
        <v>58</v>
      </c>
      <c r="D19" s="3" t="s">
        <v>50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f t="shared" si="0"/>
        <v>4.01</v>
      </c>
      <c r="L19" s="3">
        <f t="shared" si="1"/>
        <v>0</v>
      </c>
      <c r="M19" s="3">
        <v>0</v>
      </c>
      <c r="N19" s="3">
        <v>3.6</v>
      </c>
      <c r="O19" s="3">
        <f t="shared" si="2"/>
        <v>3.6</v>
      </c>
      <c r="P19" s="3">
        <f t="shared" si="3"/>
        <v>0</v>
      </c>
      <c r="Q19" s="3">
        <v>573155.18999999994</v>
      </c>
      <c r="R19" s="3">
        <v>83680.75</v>
      </c>
      <c r="S19" s="3">
        <f t="shared" si="4"/>
        <v>0</v>
      </c>
      <c r="T19" s="3">
        <f t="shared" si="5"/>
        <v>0</v>
      </c>
      <c r="U19" s="3">
        <f t="shared" si="6"/>
        <v>1</v>
      </c>
      <c r="V19" s="3">
        <f t="shared" si="7"/>
        <v>0</v>
      </c>
      <c r="W19" s="3">
        <f t="shared" si="8"/>
        <v>1</v>
      </c>
      <c r="X19" s="3">
        <f t="shared" si="9"/>
        <v>0</v>
      </c>
      <c r="Y19" s="3">
        <f t="shared" si="10"/>
        <v>0</v>
      </c>
    </row>
    <row r="20" spans="1:25" ht="14.45">
      <c r="A20" s="3" t="s">
        <v>57</v>
      </c>
      <c r="B20" s="4">
        <v>45717</v>
      </c>
      <c r="C20" s="3" t="s">
        <v>58</v>
      </c>
      <c r="D20" s="3" t="s">
        <v>50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f t="shared" si="0"/>
        <v>0.2</v>
      </c>
      <c r="L20" s="3">
        <f t="shared" si="1"/>
        <v>0</v>
      </c>
      <c r="M20" s="3">
        <v>0</v>
      </c>
      <c r="N20" s="3">
        <v>3.9</v>
      </c>
      <c r="O20" s="3">
        <f t="shared" si="2"/>
        <v>3.9</v>
      </c>
      <c r="P20" s="3">
        <f t="shared" si="3"/>
        <v>0</v>
      </c>
      <c r="Q20" s="3">
        <v>666573.19999999995</v>
      </c>
      <c r="R20" s="3">
        <v>140641.01999999999</v>
      </c>
      <c r="S20" s="3">
        <f t="shared" si="4"/>
        <v>0</v>
      </c>
      <c r="T20" s="3">
        <f t="shared" si="5"/>
        <v>0</v>
      </c>
      <c r="U20" s="3">
        <f t="shared" si="6"/>
        <v>1</v>
      </c>
      <c r="V20" s="3">
        <f t="shared" si="7"/>
        <v>0</v>
      </c>
      <c r="W20" s="3">
        <f t="shared" si="8"/>
        <v>1</v>
      </c>
      <c r="X20" s="3">
        <f t="shared" si="9"/>
        <v>0</v>
      </c>
      <c r="Y20" s="3">
        <f t="shared" si="10"/>
        <v>0</v>
      </c>
    </row>
    <row r="21" spans="1:25" ht="14.45">
      <c r="A21" s="3" t="s">
        <v>57</v>
      </c>
      <c r="B21" s="4">
        <v>45748</v>
      </c>
      <c r="C21" s="3" t="s">
        <v>58</v>
      </c>
      <c r="D21" s="3" t="s">
        <v>50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f t="shared" si="0"/>
        <v>0.5</v>
      </c>
      <c r="L21" s="3">
        <f t="shared" si="1"/>
        <v>0</v>
      </c>
      <c r="M21" s="3">
        <v>0</v>
      </c>
      <c r="N21" s="3">
        <v>4</v>
      </c>
      <c r="O21" s="3">
        <f t="shared" si="2"/>
        <v>4</v>
      </c>
      <c r="P21" s="3">
        <f t="shared" si="3"/>
        <v>0</v>
      </c>
      <c r="Q21" s="3">
        <v>591619.94999999995</v>
      </c>
      <c r="R21" s="3">
        <v>99521.35</v>
      </c>
      <c r="S21" s="3">
        <f t="shared" si="4"/>
        <v>0</v>
      </c>
      <c r="T21" s="3">
        <f t="shared" si="5"/>
        <v>0</v>
      </c>
      <c r="U21" s="3">
        <f t="shared" si="6"/>
        <v>1</v>
      </c>
      <c r="V21" s="3">
        <f t="shared" si="7"/>
        <v>0</v>
      </c>
      <c r="W21" s="3">
        <f t="shared" si="8"/>
        <v>1</v>
      </c>
      <c r="X21" s="3">
        <f t="shared" si="9"/>
        <v>0</v>
      </c>
      <c r="Y21" s="3">
        <f t="shared" si="10"/>
        <v>0</v>
      </c>
    </row>
    <row r="22" spans="1:25" ht="14.45">
      <c r="A22" s="3" t="s">
        <v>59</v>
      </c>
      <c r="B22" s="4">
        <v>45658</v>
      </c>
      <c r="C22" s="3" t="s">
        <v>54</v>
      </c>
      <c r="D22" s="3" t="s">
        <v>50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f t="shared" si="0"/>
        <v>6.95</v>
      </c>
      <c r="L22" s="3">
        <f t="shared" si="1"/>
        <v>0</v>
      </c>
      <c r="M22" s="3">
        <v>0</v>
      </c>
      <c r="N22" s="3">
        <v>5</v>
      </c>
      <c r="O22" s="3">
        <f t="shared" si="2"/>
        <v>5</v>
      </c>
      <c r="P22" s="3">
        <f t="shared" si="3"/>
        <v>0</v>
      </c>
      <c r="Q22" s="3">
        <v>415721.82</v>
      </c>
      <c r="R22" s="3">
        <v>61179.15</v>
      </c>
      <c r="S22" s="3">
        <f t="shared" si="4"/>
        <v>0</v>
      </c>
      <c r="T22" s="3">
        <f t="shared" si="5"/>
        <v>0</v>
      </c>
      <c r="U22" s="3">
        <f t="shared" si="6"/>
        <v>1</v>
      </c>
      <c r="V22" s="3">
        <f t="shared" si="7"/>
        <v>1</v>
      </c>
      <c r="W22" s="3">
        <f t="shared" si="8"/>
        <v>0</v>
      </c>
      <c r="X22" s="3">
        <f t="shared" si="9"/>
        <v>0</v>
      </c>
      <c r="Y22" s="3">
        <f t="shared" si="10"/>
        <v>0</v>
      </c>
    </row>
    <row r="23" spans="1:25" ht="14.45">
      <c r="A23" s="3" t="s">
        <v>59</v>
      </c>
      <c r="B23" s="4">
        <v>45689</v>
      </c>
      <c r="C23" s="3" t="s">
        <v>54</v>
      </c>
      <c r="D23" s="3" t="s">
        <v>50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f t="shared" si="0"/>
        <v>0.2</v>
      </c>
      <c r="L23" s="3">
        <f t="shared" si="1"/>
        <v>0</v>
      </c>
      <c r="M23" s="3">
        <v>0</v>
      </c>
      <c r="N23" s="3">
        <v>5</v>
      </c>
      <c r="O23" s="3">
        <f t="shared" si="2"/>
        <v>5</v>
      </c>
      <c r="P23" s="3">
        <f t="shared" si="3"/>
        <v>0</v>
      </c>
      <c r="Q23" s="3">
        <v>491905.13</v>
      </c>
      <c r="R23" s="3">
        <v>79212.259999999995</v>
      </c>
      <c r="S23" s="3">
        <f t="shared" si="4"/>
        <v>0</v>
      </c>
      <c r="T23" s="3">
        <f t="shared" si="5"/>
        <v>0</v>
      </c>
      <c r="U23" s="3">
        <f t="shared" si="6"/>
        <v>1</v>
      </c>
      <c r="V23" s="3">
        <f t="shared" si="7"/>
        <v>1</v>
      </c>
      <c r="W23" s="3">
        <f t="shared" si="8"/>
        <v>0</v>
      </c>
      <c r="X23" s="3">
        <f t="shared" si="9"/>
        <v>0</v>
      </c>
      <c r="Y23" s="3">
        <f t="shared" si="10"/>
        <v>0</v>
      </c>
    </row>
    <row r="24" spans="1:25" ht="14.45">
      <c r="A24" s="3" t="s">
        <v>59</v>
      </c>
      <c r="B24" s="4">
        <v>45717</v>
      </c>
      <c r="C24" s="3" t="s">
        <v>54</v>
      </c>
      <c r="D24" s="3" t="s">
        <v>50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f t="shared" si="0"/>
        <v>1.61</v>
      </c>
      <c r="L24" s="3">
        <f t="shared" si="1"/>
        <v>0</v>
      </c>
      <c r="M24" s="3">
        <v>1</v>
      </c>
      <c r="N24" s="3">
        <v>4.5999999999999996</v>
      </c>
      <c r="O24" s="3">
        <f t="shared" si="2"/>
        <v>4.5999999999999996</v>
      </c>
      <c r="P24" s="3">
        <f t="shared" si="3"/>
        <v>0</v>
      </c>
      <c r="Q24" s="3">
        <v>555929.4</v>
      </c>
      <c r="R24" s="3">
        <v>115201.76</v>
      </c>
      <c r="S24" s="3">
        <f t="shared" si="4"/>
        <v>0</v>
      </c>
      <c r="T24" s="3">
        <f t="shared" si="5"/>
        <v>0</v>
      </c>
      <c r="U24" s="3">
        <f t="shared" si="6"/>
        <v>1</v>
      </c>
      <c r="V24" s="3">
        <f t="shared" si="7"/>
        <v>1</v>
      </c>
      <c r="W24" s="3">
        <f t="shared" si="8"/>
        <v>0</v>
      </c>
      <c r="X24" s="3">
        <f t="shared" si="9"/>
        <v>0</v>
      </c>
      <c r="Y24" s="3">
        <f t="shared" si="10"/>
        <v>0</v>
      </c>
    </row>
    <row r="25" spans="1:25" ht="14.45">
      <c r="A25" s="3" t="s">
        <v>59</v>
      </c>
      <c r="B25" s="4">
        <v>45748</v>
      </c>
      <c r="C25" s="3" t="s">
        <v>54</v>
      </c>
      <c r="D25" s="3" t="s">
        <v>50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f t="shared" si="0"/>
        <v>1.55</v>
      </c>
      <c r="L25" s="3">
        <f t="shared" si="1"/>
        <v>0</v>
      </c>
      <c r="M25" s="3">
        <v>0</v>
      </c>
      <c r="N25" s="3">
        <v>4.7</v>
      </c>
      <c r="O25" s="3">
        <f t="shared" si="2"/>
        <v>4.7</v>
      </c>
      <c r="P25" s="3">
        <f t="shared" si="3"/>
        <v>0</v>
      </c>
      <c r="Q25" s="3">
        <v>565810.99</v>
      </c>
      <c r="R25" s="3">
        <v>77825.460000000006</v>
      </c>
      <c r="S25" s="3">
        <f t="shared" si="4"/>
        <v>0</v>
      </c>
      <c r="T25" s="3">
        <f t="shared" si="5"/>
        <v>0</v>
      </c>
      <c r="U25" s="3">
        <f t="shared" si="6"/>
        <v>1</v>
      </c>
      <c r="V25" s="3">
        <f t="shared" si="7"/>
        <v>1</v>
      </c>
      <c r="W25" s="3">
        <f t="shared" si="8"/>
        <v>0</v>
      </c>
      <c r="X25" s="3">
        <f t="shared" si="9"/>
        <v>0</v>
      </c>
      <c r="Y25" s="3">
        <f t="shared" si="10"/>
        <v>0</v>
      </c>
    </row>
    <row r="26" spans="1:25" ht="14.45">
      <c r="A26" s="3" t="s">
        <v>60</v>
      </c>
      <c r="B26" s="4">
        <v>45658</v>
      </c>
      <c r="C26" s="3" t="s">
        <v>61</v>
      </c>
      <c r="D26" s="3" t="s">
        <v>62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f t="shared" si="0"/>
        <v>2.99</v>
      </c>
      <c r="L26" s="3">
        <f t="shared" si="1"/>
        <v>0</v>
      </c>
      <c r="M26" s="3">
        <v>0</v>
      </c>
      <c r="N26" s="3">
        <v>3.5</v>
      </c>
      <c r="O26" s="3">
        <f t="shared" si="2"/>
        <v>3.5</v>
      </c>
      <c r="P26" s="3">
        <f t="shared" si="3"/>
        <v>0</v>
      </c>
      <c r="Q26" s="3">
        <v>811771.14</v>
      </c>
      <c r="R26" s="3">
        <v>148756.24</v>
      </c>
      <c r="S26" s="3">
        <f t="shared" si="4"/>
        <v>0</v>
      </c>
      <c r="T26" s="3">
        <f t="shared" si="5"/>
        <v>1</v>
      </c>
      <c r="U26" s="3">
        <f t="shared" si="6"/>
        <v>0</v>
      </c>
      <c r="V26" s="3">
        <f t="shared" si="7"/>
        <v>0</v>
      </c>
      <c r="W26" s="3">
        <f t="shared" si="8"/>
        <v>0</v>
      </c>
      <c r="X26" s="3">
        <f t="shared" si="9"/>
        <v>1</v>
      </c>
      <c r="Y26" s="3">
        <f t="shared" si="10"/>
        <v>0</v>
      </c>
    </row>
    <row r="27" spans="1:25" ht="14.45">
      <c r="A27" s="3" t="s">
        <v>60</v>
      </c>
      <c r="B27" s="4">
        <v>45689</v>
      </c>
      <c r="C27" s="3" t="s">
        <v>61</v>
      </c>
      <c r="D27" s="3" t="s">
        <v>62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f t="shared" si="0"/>
        <v>7.04</v>
      </c>
      <c r="L27" s="3">
        <f t="shared" si="1"/>
        <v>0</v>
      </c>
      <c r="M27" s="3">
        <v>0</v>
      </c>
      <c r="N27" s="3">
        <v>3.9</v>
      </c>
      <c r="O27" s="3">
        <f t="shared" si="2"/>
        <v>3.9</v>
      </c>
      <c r="P27" s="3">
        <f t="shared" si="3"/>
        <v>0</v>
      </c>
      <c r="Q27" s="3">
        <v>800451.94</v>
      </c>
      <c r="R27" s="3">
        <v>111572.29</v>
      </c>
      <c r="S27" s="3">
        <f t="shared" si="4"/>
        <v>0</v>
      </c>
      <c r="T27" s="3">
        <f t="shared" si="5"/>
        <v>1</v>
      </c>
      <c r="U27" s="3">
        <f t="shared" si="6"/>
        <v>0</v>
      </c>
      <c r="V27" s="3">
        <f t="shared" si="7"/>
        <v>0</v>
      </c>
      <c r="W27" s="3">
        <f t="shared" si="8"/>
        <v>0</v>
      </c>
      <c r="X27" s="3">
        <f t="shared" si="9"/>
        <v>1</v>
      </c>
      <c r="Y27" s="3">
        <f t="shared" si="10"/>
        <v>0</v>
      </c>
    </row>
    <row r="28" spans="1:25" ht="14.45">
      <c r="A28" s="3" t="s">
        <v>60</v>
      </c>
      <c r="B28" s="4">
        <v>45717</v>
      </c>
      <c r="C28" s="3" t="s">
        <v>61</v>
      </c>
      <c r="D28" s="3" t="s">
        <v>62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f t="shared" si="0"/>
        <v>4.9400000000000004</v>
      </c>
      <c r="L28" s="3">
        <f t="shared" si="1"/>
        <v>0</v>
      </c>
      <c r="M28" s="3">
        <v>0</v>
      </c>
      <c r="N28" s="3">
        <v>4</v>
      </c>
      <c r="O28" s="3">
        <f t="shared" si="2"/>
        <v>4</v>
      </c>
      <c r="P28" s="3">
        <f t="shared" si="3"/>
        <v>0</v>
      </c>
      <c r="Q28" s="3">
        <v>783672.82</v>
      </c>
      <c r="R28" s="3">
        <v>112577.14</v>
      </c>
      <c r="S28" s="3">
        <f t="shared" si="4"/>
        <v>0</v>
      </c>
      <c r="T28" s="3">
        <f t="shared" si="5"/>
        <v>1</v>
      </c>
      <c r="U28" s="3">
        <f t="shared" si="6"/>
        <v>0</v>
      </c>
      <c r="V28" s="3">
        <f t="shared" si="7"/>
        <v>0</v>
      </c>
      <c r="W28" s="3">
        <f t="shared" si="8"/>
        <v>0</v>
      </c>
      <c r="X28" s="3">
        <f t="shared" si="9"/>
        <v>1</v>
      </c>
      <c r="Y28" s="3">
        <f t="shared" si="10"/>
        <v>0</v>
      </c>
    </row>
    <row r="29" spans="1:25" ht="14.45">
      <c r="A29" s="3" t="s">
        <v>60</v>
      </c>
      <c r="B29" s="4">
        <v>45748</v>
      </c>
      <c r="C29" s="3" t="s">
        <v>61</v>
      </c>
      <c r="D29" s="3" t="s">
        <v>62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f t="shared" si="0"/>
        <v>16.149999999999999</v>
      </c>
      <c r="L29" s="3">
        <f t="shared" si="1"/>
        <v>0</v>
      </c>
      <c r="M29" s="3">
        <v>0</v>
      </c>
      <c r="N29" s="3">
        <v>3.7</v>
      </c>
      <c r="O29" s="3">
        <f t="shared" si="2"/>
        <v>3.7</v>
      </c>
      <c r="P29" s="3">
        <f t="shared" si="3"/>
        <v>0</v>
      </c>
      <c r="Q29" s="3">
        <v>701641.97</v>
      </c>
      <c r="R29" s="3">
        <v>106111.86</v>
      </c>
      <c r="S29" s="3">
        <f t="shared" si="4"/>
        <v>0</v>
      </c>
      <c r="T29" s="3">
        <f t="shared" si="5"/>
        <v>1</v>
      </c>
      <c r="U29" s="3">
        <f t="shared" si="6"/>
        <v>0</v>
      </c>
      <c r="V29" s="3">
        <f t="shared" si="7"/>
        <v>0</v>
      </c>
      <c r="W29" s="3">
        <f t="shared" si="8"/>
        <v>0</v>
      </c>
      <c r="X29" s="3">
        <f t="shared" si="9"/>
        <v>1</v>
      </c>
      <c r="Y29" s="3">
        <f t="shared" si="10"/>
        <v>0</v>
      </c>
    </row>
    <row r="30" spans="1:25" ht="14.45">
      <c r="A30" s="3" t="s">
        <v>63</v>
      </c>
      <c r="B30" s="4">
        <v>45658</v>
      </c>
      <c r="C30" s="3" t="s">
        <v>49</v>
      </c>
      <c r="D30" s="3" t="s">
        <v>50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f t="shared" si="0"/>
        <v>0.48</v>
      </c>
      <c r="L30" s="3">
        <f t="shared" si="1"/>
        <v>0</v>
      </c>
      <c r="M30" s="3">
        <v>0</v>
      </c>
      <c r="N30" s="3">
        <v>3.6</v>
      </c>
      <c r="O30" s="3">
        <f t="shared" si="2"/>
        <v>3.6</v>
      </c>
      <c r="P30" s="3">
        <f t="shared" si="3"/>
        <v>0</v>
      </c>
      <c r="Q30" s="3">
        <v>511844.41</v>
      </c>
      <c r="R30" s="3">
        <v>72774.44</v>
      </c>
      <c r="S30" s="3">
        <f t="shared" si="4"/>
        <v>0</v>
      </c>
      <c r="T30" s="3">
        <f t="shared" si="5"/>
        <v>0</v>
      </c>
      <c r="U30" s="3">
        <f t="shared" si="6"/>
        <v>1</v>
      </c>
      <c r="V30" s="3">
        <f t="shared" si="7"/>
        <v>0</v>
      </c>
      <c r="W30" s="3">
        <f t="shared" si="8"/>
        <v>0</v>
      </c>
      <c r="X30" s="3">
        <f t="shared" si="9"/>
        <v>0</v>
      </c>
      <c r="Y30" s="3">
        <f t="shared" si="10"/>
        <v>1</v>
      </c>
    </row>
    <row r="31" spans="1:25" ht="14.45">
      <c r="A31" s="3" t="s">
        <v>63</v>
      </c>
      <c r="B31" s="4">
        <v>45689</v>
      </c>
      <c r="C31" s="3" t="s">
        <v>49</v>
      </c>
      <c r="D31" s="3" t="s">
        <v>50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f t="shared" si="0"/>
        <v>0.31</v>
      </c>
      <c r="L31" s="3">
        <f t="shared" si="1"/>
        <v>0</v>
      </c>
      <c r="M31" s="3">
        <v>0</v>
      </c>
      <c r="N31" s="3">
        <v>3.1</v>
      </c>
      <c r="O31" s="3">
        <f t="shared" si="2"/>
        <v>3.1</v>
      </c>
      <c r="P31" s="3">
        <f t="shared" si="3"/>
        <v>0</v>
      </c>
      <c r="Q31" s="3">
        <v>537383.79</v>
      </c>
      <c r="R31" s="3">
        <v>63773.27</v>
      </c>
      <c r="S31" s="3">
        <f t="shared" si="4"/>
        <v>0</v>
      </c>
      <c r="T31" s="3">
        <f t="shared" si="5"/>
        <v>0</v>
      </c>
      <c r="U31" s="3">
        <f t="shared" si="6"/>
        <v>1</v>
      </c>
      <c r="V31" s="3">
        <f t="shared" si="7"/>
        <v>0</v>
      </c>
      <c r="W31" s="3">
        <f t="shared" si="8"/>
        <v>0</v>
      </c>
      <c r="X31" s="3">
        <f t="shared" si="9"/>
        <v>0</v>
      </c>
      <c r="Y31" s="3">
        <f t="shared" si="10"/>
        <v>1</v>
      </c>
    </row>
    <row r="32" spans="1:25" ht="14.45">
      <c r="A32" s="3" t="s">
        <v>63</v>
      </c>
      <c r="B32" s="4">
        <v>45717</v>
      </c>
      <c r="C32" s="3" t="s">
        <v>49</v>
      </c>
      <c r="D32" s="3" t="s">
        <v>50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f t="shared" si="0"/>
        <v>3.01</v>
      </c>
      <c r="L32" s="3">
        <f t="shared" si="1"/>
        <v>0</v>
      </c>
      <c r="M32" s="3">
        <v>1</v>
      </c>
      <c r="N32" s="3">
        <v>3.7</v>
      </c>
      <c r="O32" s="3">
        <f t="shared" si="2"/>
        <v>3.7</v>
      </c>
      <c r="P32" s="3">
        <f t="shared" si="3"/>
        <v>0</v>
      </c>
      <c r="Q32" s="3">
        <v>500173.02</v>
      </c>
      <c r="R32" s="3">
        <v>70982.05</v>
      </c>
      <c r="S32" s="3">
        <f t="shared" si="4"/>
        <v>0</v>
      </c>
      <c r="T32" s="3">
        <f t="shared" si="5"/>
        <v>0</v>
      </c>
      <c r="U32" s="3">
        <f t="shared" si="6"/>
        <v>1</v>
      </c>
      <c r="V32" s="3">
        <f t="shared" si="7"/>
        <v>0</v>
      </c>
      <c r="W32" s="3">
        <f t="shared" si="8"/>
        <v>0</v>
      </c>
      <c r="X32" s="3">
        <f t="shared" si="9"/>
        <v>0</v>
      </c>
      <c r="Y32" s="3">
        <f t="shared" si="10"/>
        <v>1</v>
      </c>
    </row>
    <row r="33" spans="1:25" ht="14.45">
      <c r="A33" s="3" t="s">
        <v>63</v>
      </c>
      <c r="B33" s="4">
        <v>45748</v>
      </c>
      <c r="C33" s="3" t="s">
        <v>49</v>
      </c>
      <c r="D33" s="3" t="s">
        <v>50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f t="shared" si="0"/>
        <v>12.15</v>
      </c>
      <c r="L33" s="3">
        <f t="shared" si="1"/>
        <v>0</v>
      </c>
      <c r="M33" s="3">
        <v>0</v>
      </c>
      <c r="N33" s="3">
        <v>3.6</v>
      </c>
      <c r="O33" s="3">
        <f t="shared" si="2"/>
        <v>3.6</v>
      </c>
      <c r="P33" s="3">
        <f t="shared" si="3"/>
        <v>0</v>
      </c>
      <c r="Q33" s="3">
        <v>427917.38</v>
      </c>
      <c r="R33" s="3">
        <v>81824.31</v>
      </c>
      <c r="S33" s="3">
        <f t="shared" si="4"/>
        <v>0</v>
      </c>
      <c r="T33" s="3">
        <f t="shared" si="5"/>
        <v>0</v>
      </c>
      <c r="U33" s="3">
        <f t="shared" si="6"/>
        <v>1</v>
      </c>
      <c r="V33" s="3">
        <f t="shared" si="7"/>
        <v>0</v>
      </c>
      <c r="W33" s="3">
        <f t="shared" si="8"/>
        <v>0</v>
      </c>
      <c r="X33" s="3">
        <f t="shared" si="9"/>
        <v>0</v>
      </c>
      <c r="Y33" s="3">
        <f t="shared" si="10"/>
        <v>1</v>
      </c>
    </row>
    <row r="34" spans="1:25" ht="14.45">
      <c r="A34" s="3" t="s">
        <v>64</v>
      </c>
      <c r="B34" s="4">
        <v>45658</v>
      </c>
      <c r="C34" s="3" t="s">
        <v>54</v>
      </c>
      <c r="D34" s="3" t="s">
        <v>50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f t="shared" si="0"/>
        <v>11.71</v>
      </c>
      <c r="L34" s="3">
        <f t="shared" si="1"/>
        <v>0</v>
      </c>
      <c r="M34" s="3">
        <v>0</v>
      </c>
      <c r="N34" s="3">
        <v>4.2</v>
      </c>
      <c r="O34" s="3">
        <f t="shared" si="2"/>
        <v>4.2</v>
      </c>
      <c r="P34" s="3">
        <f t="shared" si="3"/>
        <v>0</v>
      </c>
      <c r="Q34" s="3">
        <v>641865.03</v>
      </c>
      <c r="R34" s="3">
        <v>81342.58</v>
      </c>
      <c r="S34" s="3">
        <f t="shared" si="4"/>
        <v>0</v>
      </c>
      <c r="T34" s="3">
        <f t="shared" si="5"/>
        <v>0</v>
      </c>
      <c r="U34" s="3">
        <f t="shared" si="6"/>
        <v>1</v>
      </c>
      <c r="V34" s="3">
        <f t="shared" si="7"/>
        <v>1</v>
      </c>
      <c r="W34" s="3">
        <f t="shared" si="8"/>
        <v>0</v>
      </c>
      <c r="X34" s="3">
        <f t="shared" si="9"/>
        <v>0</v>
      </c>
      <c r="Y34" s="3">
        <f t="shared" si="10"/>
        <v>0</v>
      </c>
    </row>
    <row r="35" spans="1:25" ht="14.45">
      <c r="A35" s="3" t="s">
        <v>64</v>
      </c>
      <c r="B35" s="4">
        <v>45689</v>
      </c>
      <c r="C35" s="3" t="s">
        <v>54</v>
      </c>
      <c r="D35" s="3" t="s">
        <v>50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f t="shared" si="0"/>
        <v>0.62</v>
      </c>
      <c r="L35" s="3">
        <f t="shared" si="1"/>
        <v>0</v>
      </c>
      <c r="M35" s="3">
        <v>0</v>
      </c>
      <c r="N35" s="3"/>
      <c r="O35" s="3">
        <f t="shared" si="2"/>
        <v>3.9</v>
      </c>
      <c r="P35" s="3">
        <f t="shared" si="3"/>
        <v>1</v>
      </c>
      <c r="Q35" s="3">
        <v>799477.76000000001</v>
      </c>
      <c r="R35" s="3">
        <v>164974.41</v>
      </c>
      <c r="S35" s="3">
        <f t="shared" si="4"/>
        <v>0</v>
      </c>
      <c r="T35" s="3">
        <f t="shared" si="5"/>
        <v>0</v>
      </c>
      <c r="U35" s="3">
        <f t="shared" si="6"/>
        <v>1</v>
      </c>
      <c r="V35" s="3">
        <f t="shared" si="7"/>
        <v>1</v>
      </c>
      <c r="W35" s="3">
        <f t="shared" si="8"/>
        <v>0</v>
      </c>
      <c r="X35" s="3">
        <f t="shared" si="9"/>
        <v>0</v>
      </c>
      <c r="Y35" s="3">
        <f t="shared" si="10"/>
        <v>0</v>
      </c>
    </row>
    <row r="36" spans="1:25" ht="14.45">
      <c r="A36" s="3" t="s">
        <v>64</v>
      </c>
      <c r="B36" s="4">
        <v>45717</v>
      </c>
      <c r="C36" s="3" t="s">
        <v>54</v>
      </c>
      <c r="D36" s="3" t="s">
        <v>50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f t="shared" si="0"/>
        <v>2.12</v>
      </c>
      <c r="L36" s="3">
        <f t="shared" si="1"/>
        <v>0</v>
      </c>
      <c r="M36" s="3">
        <v>0</v>
      </c>
      <c r="N36" s="3">
        <v>3.5</v>
      </c>
      <c r="O36" s="3">
        <f t="shared" si="2"/>
        <v>3.5</v>
      </c>
      <c r="P36" s="3">
        <f t="shared" si="3"/>
        <v>0</v>
      </c>
      <c r="Q36" s="3">
        <v>798952.17</v>
      </c>
      <c r="R36" s="3">
        <v>161499.04</v>
      </c>
      <c r="S36" s="3">
        <f t="shared" si="4"/>
        <v>0</v>
      </c>
      <c r="T36" s="3">
        <f t="shared" si="5"/>
        <v>0</v>
      </c>
      <c r="U36" s="3">
        <f t="shared" si="6"/>
        <v>1</v>
      </c>
      <c r="V36" s="3">
        <f t="shared" si="7"/>
        <v>1</v>
      </c>
      <c r="W36" s="3">
        <f t="shared" si="8"/>
        <v>0</v>
      </c>
      <c r="X36" s="3">
        <f t="shared" si="9"/>
        <v>0</v>
      </c>
      <c r="Y36" s="3">
        <f t="shared" si="10"/>
        <v>0</v>
      </c>
    </row>
    <row r="37" spans="1:25" ht="14.45">
      <c r="A37" s="3" t="s">
        <v>64</v>
      </c>
      <c r="B37" s="4">
        <v>45748</v>
      </c>
      <c r="C37" s="3" t="s">
        <v>54</v>
      </c>
      <c r="D37" s="3" t="s">
        <v>50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f t="shared" si="0"/>
        <v>6.31</v>
      </c>
      <c r="L37" s="3">
        <f t="shared" si="1"/>
        <v>0</v>
      </c>
      <c r="M37" s="3">
        <v>0</v>
      </c>
      <c r="N37" s="3">
        <v>3.6</v>
      </c>
      <c r="O37" s="3">
        <f t="shared" si="2"/>
        <v>3.6</v>
      </c>
      <c r="P37" s="3">
        <f t="shared" si="3"/>
        <v>0</v>
      </c>
      <c r="Q37" s="3">
        <v>800979.78</v>
      </c>
      <c r="R37" s="3">
        <v>149242.26999999999</v>
      </c>
      <c r="S37" s="3">
        <f t="shared" si="4"/>
        <v>0</v>
      </c>
      <c r="T37" s="3">
        <f t="shared" si="5"/>
        <v>0</v>
      </c>
      <c r="U37" s="3">
        <f t="shared" si="6"/>
        <v>1</v>
      </c>
      <c r="V37" s="3">
        <f t="shared" si="7"/>
        <v>1</v>
      </c>
      <c r="W37" s="3">
        <f t="shared" si="8"/>
        <v>0</v>
      </c>
      <c r="X37" s="3">
        <f t="shared" si="9"/>
        <v>0</v>
      </c>
      <c r="Y37" s="3">
        <f t="shared" si="10"/>
        <v>0</v>
      </c>
    </row>
    <row r="38" spans="1:25" ht="14.45">
      <c r="A38" s="3" t="s">
        <v>65</v>
      </c>
      <c r="B38" s="4">
        <v>45658</v>
      </c>
      <c r="C38" s="3" t="s">
        <v>54</v>
      </c>
      <c r="D38" s="3" t="s">
        <v>62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f t="shared" si="0"/>
        <v>9.56</v>
      </c>
      <c r="L38" s="3">
        <f t="shared" si="1"/>
        <v>0</v>
      </c>
      <c r="M38" s="3">
        <v>1</v>
      </c>
      <c r="N38" s="3">
        <v>4.2</v>
      </c>
      <c r="O38" s="3">
        <f t="shared" si="2"/>
        <v>4.2</v>
      </c>
      <c r="P38" s="3">
        <f t="shared" si="3"/>
        <v>0</v>
      </c>
      <c r="Q38" s="3">
        <v>820593.93</v>
      </c>
      <c r="R38" s="3">
        <v>115860.06</v>
      </c>
      <c r="S38" s="3">
        <f t="shared" si="4"/>
        <v>0</v>
      </c>
      <c r="T38" s="3">
        <f t="shared" si="5"/>
        <v>1</v>
      </c>
      <c r="U38" s="3">
        <f t="shared" si="6"/>
        <v>0</v>
      </c>
      <c r="V38" s="3">
        <f t="shared" si="7"/>
        <v>1</v>
      </c>
      <c r="W38" s="3">
        <f t="shared" si="8"/>
        <v>0</v>
      </c>
      <c r="X38" s="3">
        <f t="shared" si="9"/>
        <v>0</v>
      </c>
      <c r="Y38" s="3">
        <f t="shared" si="10"/>
        <v>0</v>
      </c>
    </row>
    <row r="39" spans="1:25" ht="14.45">
      <c r="A39" s="3" t="s">
        <v>65</v>
      </c>
      <c r="B39" s="4">
        <v>45689</v>
      </c>
      <c r="C39" s="3" t="s">
        <v>54</v>
      </c>
      <c r="D39" s="3" t="s">
        <v>62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f t="shared" si="0"/>
        <v>9.0500000000000007</v>
      </c>
      <c r="L39" s="3">
        <f t="shared" si="1"/>
        <v>0</v>
      </c>
      <c r="M39" s="3">
        <v>0</v>
      </c>
      <c r="N39" s="3">
        <v>3.8</v>
      </c>
      <c r="O39" s="3">
        <f t="shared" si="2"/>
        <v>3.8</v>
      </c>
      <c r="P39" s="3">
        <f t="shared" si="3"/>
        <v>0</v>
      </c>
      <c r="Q39" s="3">
        <v>718330.53</v>
      </c>
      <c r="R39" s="3">
        <v>93247.9</v>
      </c>
      <c r="S39" s="3">
        <f t="shared" si="4"/>
        <v>0</v>
      </c>
      <c r="T39" s="3">
        <f t="shared" si="5"/>
        <v>1</v>
      </c>
      <c r="U39" s="3">
        <f t="shared" si="6"/>
        <v>0</v>
      </c>
      <c r="V39" s="3">
        <f t="shared" si="7"/>
        <v>1</v>
      </c>
      <c r="W39" s="3">
        <f t="shared" si="8"/>
        <v>0</v>
      </c>
      <c r="X39" s="3">
        <f t="shared" si="9"/>
        <v>0</v>
      </c>
      <c r="Y39" s="3">
        <f t="shared" si="10"/>
        <v>0</v>
      </c>
    </row>
    <row r="40" spans="1:25" ht="14.45">
      <c r="A40" s="3" t="s">
        <v>65</v>
      </c>
      <c r="B40" s="4">
        <v>45717</v>
      </c>
      <c r="C40" s="3" t="s">
        <v>54</v>
      </c>
      <c r="D40" s="3" t="s">
        <v>62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f t="shared" si="0"/>
        <v>5.05</v>
      </c>
      <c r="L40" s="3">
        <f t="shared" si="1"/>
        <v>0</v>
      </c>
      <c r="M40" s="3">
        <v>0</v>
      </c>
      <c r="N40" s="3">
        <v>4</v>
      </c>
      <c r="O40" s="3">
        <f t="shared" si="2"/>
        <v>4</v>
      </c>
      <c r="P40" s="3">
        <f t="shared" si="3"/>
        <v>0</v>
      </c>
      <c r="Q40" s="3">
        <v>736633.4</v>
      </c>
      <c r="R40" s="3">
        <v>115654.66</v>
      </c>
      <c r="S40" s="3">
        <f t="shared" si="4"/>
        <v>0</v>
      </c>
      <c r="T40" s="3">
        <f t="shared" si="5"/>
        <v>1</v>
      </c>
      <c r="U40" s="3">
        <f t="shared" si="6"/>
        <v>0</v>
      </c>
      <c r="V40" s="3">
        <f t="shared" si="7"/>
        <v>1</v>
      </c>
      <c r="W40" s="3">
        <f t="shared" si="8"/>
        <v>0</v>
      </c>
      <c r="X40" s="3">
        <f t="shared" si="9"/>
        <v>0</v>
      </c>
      <c r="Y40" s="3">
        <f t="shared" si="10"/>
        <v>0</v>
      </c>
    </row>
    <row r="41" spans="1:25" ht="14.45">
      <c r="A41" s="3" t="s">
        <v>65</v>
      </c>
      <c r="B41" s="4">
        <v>45748</v>
      </c>
      <c r="C41" s="3" t="s">
        <v>54</v>
      </c>
      <c r="D41" s="3" t="s">
        <v>62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f t="shared" si="0"/>
        <v>0.89</v>
      </c>
      <c r="L41" s="3">
        <f t="shared" si="1"/>
        <v>0</v>
      </c>
      <c r="M41" s="3">
        <v>0</v>
      </c>
      <c r="N41" s="3">
        <v>3.8</v>
      </c>
      <c r="O41" s="3">
        <f t="shared" si="2"/>
        <v>3.8</v>
      </c>
      <c r="P41" s="3">
        <f t="shared" si="3"/>
        <v>0</v>
      </c>
      <c r="Q41" s="3">
        <v>828623.85</v>
      </c>
      <c r="R41" s="3">
        <v>167320.51999999999</v>
      </c>
      <c r="S41" s="3">
        <f t="shared" si="4"/>
        <v>0</v>
      </c>
      <c r="T41" s="3">
        <f t="shared" si="5"/>
        <v>1</v>
      </c>
      <c r="U41" s="3">
        <f t="shared" si="6"/>
        <v>0</v>
      </c>
      <c r="V41" s="3">
        <f t="shared" si="7"/>
        <v>1</v>
      </c>
      <c r="W41" s="3">
        <f t="shared" si="8"/>
        <v>0</v>
      </c>
      <c r="X41" s="3">
        <f t="shared" si="9"/>
        <v>0</v>
      </c>
      <c r="Y41" s="3">
        <f t="shared" si="10"/>
        <v>0</v>
      </c>
    </row>
    <row r="42" spans="1:25" ht="14.45">
      <c r="A42" s="3" t="s">
        <v>66</v>
      </c>
      <c r="B42" s="4">
        <v>45658</v>
      </c>
      <c r="C42" s="3" t="s">
        <v>49</v>
      </c>
      <c r="D42" s="3" t="s">
        <v>62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f t="shared" si="0"/>
        <v>5.57</v>
      </c>
      <c r="L42" s="3">
        <f t="shared" si="1"/>
        <v>0</v>
      </c>
      <c r="M42" s="3">
        <v>0</v>
      </c>
      <c r="N42" s="3">
        <v>4.4000000000000004</v>
      </c>
      <c r="O42" s="3">
        <f t="shared" si="2"/>
        <v>4.4000000000000004</v>
      </c>
      <c r="P42" s="3">
        <f t="shared" si="3"/>
        <v>0</v>
      </c>
      <c r="Q42" s="3">
        <v>592195.85</v>
      </c>
      <c r="R42" s="3">
        <v>92291.56</v>
      </c>
      <c r="S42" s="3">
        <f t="shared" si="4"/>
        <v>0</v>
      </c>
      <c r="T42" s="3">
        <f t="shared" si="5"/>
        <v>1</v>
      </c>
      <c r="U42" s="3">
        <f t="shared" si="6"/>
        <v>0</v>
      </c>
      <c r="V42" s="3">
        <f t="shared" si="7"/>
        <v>0</v>
      </c>
      <c r="W42" s="3">
        <f t="shared" si="8"/>
        <v>0</v>
      </c>
      <c r="X42" s="3">
        <f t="shared" si="9"/>
        <v>0</v>
      </c>
      <c r="Y42" s="3">
        <f t="shared" si="10"/>
        <v>1</v>
      </c>
    </row>
    <row r="43" spans="1:25" ht="14.45">
      <c r="A43" s="3" t="s">
        <v>66</v>
      </c>
      <c r="B43" s="4">
        <v>45689</v>
      </c>
      <c r="C43" s="3" t="s">
        <v>49</v>
      </c>
      <c r="D43" s="3" t="s">
        <v>62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f t="shared" si="0"/>
        <v>1.06</v>
      </c>
      <c r="L43" s="3">
        <f t="shared" si="1"/>
        <v>0</v>
      </c>
      <c r="M43" s="3">
        <v>0</v>
      </c>
      <c r="N43" s="3">
        <v>4.4000000000000004</v>
      </c>
      <c r="O43" s="3">
        <f t="shared" si="2"/>
        <v>4.4000000000000004</v>
      </c>
      <c r="P43" s="3">
        <f t="shared" si="3"/>
        <v>0</v>
      </c>
      <c r="Q43" s="3">
        <v>532644.46</v>
      </c>
      <c r="R43" s="3">
        <v>60681.32</v>
      </c>
      <c r="S43" s="3">
        <f t="shared" si="4"/>
        <v>0</v>
      </c>
      <c r="T43" s="3">
        <f t="shared" si="5"/>
        <v>1</v>
      </c>
      <c r="U43" s="3">
        <f t="shared" si="6"/>
        <v>0</v>
      </c>
      <c r="V43" s="3">
        <f t="shared" si="7"/>
        <v>0</v>
      </c>
      <c r="W43" s="3">
        <f t="shared" si="8"/>
        <v>0</v>
      </c>
      <c r="X43" s="3">
        <f t="shared" si="9"/>
        <v>0</v>
      </c>
      <c r="Y43" s="3">
        <f t="shared" si="10"/>
        <v>1</v>
      </c>
    </row>
    <row r="44" spans="1:25" ht="14.45">
      <c r="A44" s="3" t="s">
        <v>66</v>
      </c>
      <c r="B44" s="4">
        <v>45717</v>
      </c>
      <c r="C44" s="3" t="s">
        <v>49</v>
      </c>
      <c r="D44" s="3" t="s">
        <v>62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f t="shared" si="0"/>
        <v>1.24</v>
      </c>
      <c r="L44" s="3">
        <f t="shared" si="1"/>
        <v>0</v>
      </c>
      <c r="M44" s="3">
        <v>1</v>
      </c>
      <c r="N44" s="3">
        <v>4</v>
      </c>
      <c r="O44" s="3">
        <f t="shared" si="2"/>
        <v>4</v>
      </c>
      <c r="P44" s="3">
        <f t="shared" si="3"/>
        <v>0</v>
      </c>
      <c r="Q44" s="3">
        <v>657429.18000000005</v>
      </c>
      <c r="R44" s="3">
        <v>88919.74</v>
      </c>
      <c r="S44" s="3">
        <f t="shared" si="4"/>
        <v>0</v>
      </c>
      <c r="T44" s="3">
        <f t="shared" si="5"/>
        <v>1</v>
      </c>
      <c r="U44" s="3">
        <f t="shared" si="6"/>
        <v>0</v>
      </c>
      <c r="V44" s="3">
        <f t="shared" si="7"/>
        <v>0</v>
      </c>
      <c r="W44" s="3">
        <f t="shared" si="8"/>
        <v>0</v>
      </c>
      <c r="X44" s="3">
        <f t="shared" si="9"/>
        <v>0</v>
      </c>
      <c r="Y44" s="3">
        <f t="shared" si="10"/>
        <v>1</v>
      </c>
    </row>
    <row r="45" spans="1:25" ht="14.45">
      <c r="A45" s="3" t="s">
        <v>66</v>
      </c>
      <c r="B45" s="4">
        <v>45748</v>
      </c>
      <c r="C45" s="3" t="s">
        <v>49</v>
      </c>
      <c r="D45" s="3" t="s">
        <v>62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f t="shared" si="0"/>
        <v>4.5199999999999996</v>
      </c>
      <c r="L45" s="3">
        <f t="shared" si="1"/>
        <v>0</v>
      </c>
      <c r="M45" s="3">
        <v>0</v>
      </c>
      <c r="N45" s="3">
        <v>4.2</v>
      </c>
      <c r="O45" s="3">
        <f t="shared" si="2"/>
        <v>4.2</v>
      </c>
      <c r="P45" s="3">
        <f t="shared" si="3"/>
        <v>0</v>
      </c>
      <c r="Q45" s="3">
        <v>605178</v>
      </c>
      <c r="R45" s="3">
        <v>106958.74</v>
      </c>
      <c r="S45" s="3">
        <f t="shared" si="4"/>
        <v>0</v>
      </c>
      <c r="T45" s="3">
        <f t="shared" si="5"/>
        <v>1</v>
      </c>
      <c r="U45" s="3">
        <f t="shared" si="6"/>
        <v>0</v>
      </c>
      <c r="V45" s="3">
        <f t="shared" si="7"/>
        <v>0</v>
      </c>
      <c r="W45" s="3">
        <f t="shared" si="8"/>
        <v>0</v>
      </c>
      <c r="X45" s="3">
        <f t="shared" si="9"/>
        <v>0</v>
      </c>
      <c r="Y45" s="3">
        <f t="shared" si="10"/>
        <v>1</v>
      </c>
    </row>
    <row r="46" spans="1:25" ht="14.45">
      <c r="A46" s="3" t="s">
        <v>67</v>
      </c>
      <c r="B46" s="4">
        <v>45658</v>
      </c>
      <c r="C46" s="3" t="s">
        <v>61</v>
      </c>
      <c r="D46" s="3" t="s">
        <v>50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f t="shared" si="0"/>
        <v>9.58</v>
      </c>
      <c r="L46" s="3">
        <f t="shared" si="1"/>
        <v>0</v>
      </c>
      <c r="M46" s="3">
        <v>0</v>
      </c>
      <c r="N46" s="3">
        <v>3.2</v>
      </c>
      <c r="O46" s="3">
        <f t="shared" si="2"/>
        <v>3.2</v>
      </c>
      <c r="P46" s="3">
        <f t="shared" si="3"/>
        <v>0</v>
      </c>
      <c r="Q46" s="3">
        <v>595467.6</v>
      </c>
      <c r="R46" s="3">
        <v>104276.46</v>
      </c>
      <c r="S46" s="3">
        <f t="shared" si="4"/>
        <v>0</v>
      </c>
      <c r="T46" s="3">
        <f t="shared" si="5"/>
        <v>0</v>
      </c>
      <c r="U46" s="3">
        <f t="shared" si="6"/>
        <v>1</v>
      </c>
      <c r="V46" s="3">
        <f t="shared" si="7"/>
        <v>0</v>
      </c>
      <c r="W46" s="3">
        <f t="shared" si="8"/>
        <v>0</v>
      </c>
      <c r="X46" s="3">
        <f t="shared" si="9"/>
        <v>1</v>
      </c>
      <c r="Y46" s="3">
        <f t="shared" si="10"/>
        <v>0</v>
      </c>
    </row>
    <row r="47" spans="1:25" ht="14.45">
      <c r="A47" s="3" t="s">
        <v>67</v>
      </c>
      <c r="B47" s="4">
        <v>45689</v>
      </c>
      <c r="C47" s="3" t="s">
        <v>61</v>
      </c>
      <c r="D47" s="3" t="s">
        <v>50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f t="shared" si="0"/>
        <v>5.52</v>
      </c>
      <c r="L47" s="3">
        <f t="shared" si="1"/>
        <v>0</v>
      </c>
      <c r="M47" s="3">
        <v>0</v>
      </c>
      <c r="N47" s="3">
        <v>3.5</v>
      </c>
      <c r="O47" s="3">
        <f t="shared" si="2"/>
        <v>3.5</v>
      </c>
      <c r="P47" s="3">
        <f t="shared" si="3"/>
        <v>0</v>
      </c>
      <c r="Q47" s="3">
        <v>599603.4</v>
      </c>
      <c r="R47" s="3">
        <v>112685.12</v>
      </c>
      <c r="S47" s="3">
        <f t="shared" si="4"/>
        <v>0</v>
      </c>
      <c r="T47" s="3">
        <f t="shared" si="5"/>
        <v>0</v>
      </c>
      <c r="U47" s="3">
        <f t="shared" si="6"/>
        <v>1</v>
      </c>
      <c r="V47" s="3">
        <f t="shared" si="7"/>
        <v>0</v>
      </c>
      <c r="W47" s="3">
        <f t="shared" si="8"/>
        <v>0</v>
      </c>
      <c r="X47" s="3">
        <f t="shared" si="9"/>
        <v>1</v>
      </c>
      <c r="Y47" s="3">
        <f t="shared" si="10"/>
        <v>0</v>
      </c>
    </row>
    <row r="48" spans="1:25" ht="14.45">
      <c r="A48" s="3" t="s">
        <v>67</v>
      </c>
      <c r="B48" s="4">
        <v>45717</v>
      </c>
      <c r="C48" s="3" t="s">
        <v>61</v>
      </c>
      <c r="D48" s="3" t="s">
        <v>50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f t="shared" si="0"/>
        <v>2.7</v>
      </c>
      <c r="L48" s="3">
        <f t="shared" si="1"/>
        <v>0</v>
      </c>
      <c r="M48" s="3">
        <v>1</v>
      </c>
      <c r="N48" s="3">
        <v>3.2</v>
      </c>
      <c r="O48" s="3">
        <f t="shared" si="2"/>
        <v>3.2</v>
      </c>
      <c r="P48" s="3">
        <f t="shared" si="3"/>
        <v>0</v>
      </c>
      <c r="Q48" s="3">
        <v>614800.09</v>
      </c>
      <c r="R48" s="3">
        <v>100044.2</v>
      </c>
      <c r="S48" s="3">
        <f t="shared" si="4"/>
        <v>0</v>
      </c>
      <c r="T48" s="3">
        <f t="shared" si="5"/>
        <v>0</v>
      </c>
      <c r="U48" s="3">
        <f t="shared" si="6"/>
        <v>1</v>
      </c>
      <c r="V48" s="3">
        <f t="shared" si="7"/>
        <v>0</v>
      </c>
      <c r="W48" s="3">
        <f t="shared" si="8"/>
        <v>0</v>
      </c>
      <c r="X48" s="3">
        <f t="shared" si="9"/>
        <v>1</v>
      </c>
      <c r="Y48" s="3">
        <f t="shared" si="10"/>
        <v>0</v>
      </c>
    </row>
    <row r="49" spans="1:25" ht="14.45">
      <c r="A49" s="3" t="s">
        <v>67</v>
      </c>
      <c r="B49" s="4">
        <v>45748</v>
      </c>
      <c r="C49" s="3" t="s">
        <v>61</v>
      </c>
      <c r="D49" s="3" t="s">
        <v>50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f t="shared" si="0"/>
        <v>9.64</v>
      </c>
      <c r="L49" s="3">
        <f t="shared" si="1"/>
        <v>0</v>
      </c>
      <c r="M49" s="3">
        <v>0</v>
      </c>
      <c r="N49" s="3">
        <v>3.3</v>
      </c>
      <c r="O49" s="3">
        <f t="shared" si="2"/>
        <v>3.3</v>
      </c>
      <c r="P49" s="3">
        <f t="shared" si="3"/>
        <v>0</v>
      </c>
      <c r="Q49" s="3">
        <v>585365.73</v>
      </c>
      <c r="R49" s="3">
        <v>81011.520000000004</v>
      </c>
      <c r="S49" s="3">
        <f t="shared" si="4"/>
        <v>0</v>
      </c>
      <c r="T49" s="3">
        <f t="shared" si="5"/>
        <v>0</v>
      </c>
      <c r="U49" s="3">
        <f t="shared" si="6"/>
        <v>1</v>
      </c>
      <c r="V49" s="3">
        <f t="shared" si="7"/>
        <v>0</v>
      </c>
      <c r="W49" s="3">
        <f t="shared" si="8"/>
        <v>0</v>
      </c>
      <c r="X49" s="3">
        <f t="shared" si="9"/>
        <v>1</v>
      </c>
      <c r="Y49" s="3">
        <f t="shared" si="10"/>
        <v>0</v>
      </c>
    </row>
    <row r="50" spans="1:25" ht="14.45">
      <c r="A50" s="3" t="s">
        <v>68</v>
      </c>
      <c r="B50" s="4">
        <v>45658</v>
      </c>
      <c r="C50" s="3" t="s">
        <v>54</v>
      </c>
      <c r="D50" s="3" t="s">
        <v>62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f t="shared" si="0"/>
        <v>3.49</v>
      </c>
      <c r="L50" s="3">
        <f t="shared" si="1"/>
        <v>0</v>
      </c>
      <c r="M50" s="3">
        <v>1</v>
      </c>
      <c r="N50" s="3">
        <v>4.7</v>
      </c>
      <c r="O50" s="3">
        <f t="shared" si="2"/>
        <v>4.7</v>
      </c>
      <c r="P50" s="3">
        <f t="shared" si="3"/>
        <v>0</v>
      </c>
      <c r="Q50" s="3">
        <v>622811.74</v>
      </c>
      <c r="R50" s="3">
        <v>109978.35</v>
      </c>
      <c r="S50" s="3">
        <f t="shared" si="4"/>
        <v>0</v>
      </c>
      <c r="T50" s="3">
        <f t="shared" si="5"/>
        <v>1</v>
      </c>
      <c r="U50" s="3">
        <f t="shared" si="6"/>
        <v>0</v>
      </c>
      <c r="V50" s="3">
        <f t="shared" si="7"/>
        <v>1</v>
      </c>
      <c r="W50" s="3">
        <f t="shared" si="8"/>
        <v>0</v>
      </c>
      <c r="X50" s="3">
        <f t="shared" si="9"/>
        <v>0</v>
      </c>
      <c r="Y50" s="3">
        <f t="shared" si="10"/>
        <v>0</v>
      </c>
    </row>
    <row r="51" spans="1:25" ht="14.45">
      <c r="A51" s="3" t="s">
        <v>68</v>
      </c>
      <c r="B51" s="4">
        <v>45689</v>
      </c>
      <c r="C51" s="3" t="s">
        <v>54</v>
      </c>
      <c r="D51" s="3" t="s">
        <v>62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f t="shared" si="0"/>
        <v>9.11</v>
      </c>
      <c r="L51" s="3">
        <f t="shared" si="1"/>
        <v>0</v>
      </c>
      <c r="M51" s="3">
        <v>0</v>
      </c>
      <c r="N51" s="3">
        <v>4.5999999999999996</v>
      </c>
      <c r="O51" s="3">
        <f t="shared" si="2"/>
        <v>4.5999999999999996</v>
      </c>
      <c r="P51" s="3">
        <f t="shared" si="3"/>
        <v>0</v>
      </c>
      <c r="Q51" s="3">
        <v>603297.56999999995</v>
      </c>
      <c r="R51" s="3">
        <v>60592.26</v>
      </c>
      <c r="S51" s="3">
        <f t="shared" si="4"/>
        <v>0</v>
      </c>
      <c r="T51" s="3">
        <f t="shared" si="5"/>
        <v>1</v>
      </c>
      <c r="U51" s="3">
        <f t="shared" si="6"/>
        <v>0</v>
      </c>
      <c r="V51" s="3">
        <f t="shared" si="7"/>
        <v>1</v>
      </c>
      <c r="W51" s="3">
        <f t="shared" si="8"/>
        <v>0</v>
      </c>
      <c r="X51" s="3">
        <f t="shared" si="9"/>
        <v>0</v>
      </c>
      <c r="Y51" s="3">
        <f t="shared" si="10"/>
        <v>0</v>
      </c>
    </row>
    <row r="52" spans="1:25" ht="14.45">
      <c r="A52" s="3" t="s">
        <v>68</v>
      </c>
      <c r="B52" s="4">
        <v>45717</v>
      </c>
      <c r="C52" s="3" t="s">
        <v>54</v>
      </c>
      <c r="D52" s="3" t="s">
        <v>62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f t="shared" si="0"/>
        <v>7.4</v>
      </c>
      <c r="L52" s="3">
        <f t="shared" si="1"/>
        <v>0</v>
      </c>
      <c r="M52" s="3">
        <v>0</v>
      </c>
      <c r="N52" s="3">
        <v>4.5</v>
      </c>
      <c r="O52" s="3">
        <f t="shared" si="2"/>
        <v>4.5</v>
      </c>
      <c r="P52" s="3">
        <f t="shared" si="3"/>
        <v>0</v>
      </c>
      <c r="Q52" s="3">
        <v>625672.86</v>
      </c>
      <c r="R52" s="3">
        <v>118020.12</v>
      </c>
      <c r="S52" s="3">
        <f t="shared" si="4"/>
        <v>0</v>
      </c>
      <c r="T52" s="3">
        <f t="shared" si="5"/>
        <v>1</v>
      </c>
      <c r="U52" s="3">
        <f t="shared" si="6"/>
        <v>0</v>
      </c>
      <c r="V52" s="3">
        <f t="shared" si="7"/>
        <v>1</v>
      </c>
      <c r="W52" s="3">
        <f t="shared" si="8"/>
        <v>0</v>
      </c>
      <c r="X52" s="3">
        <f t="shared" si="9"/>
        <v>0</v>
      </c>
      <c r="Y52" s="3">
        <f t="shared" si="10"/>
        <v>0</v>
      </c>
    </row>
    <row r="53" spans="1:25" ht="14.45">
      <c r="A53" s="3" t="s">
        <v>68</v>
      </c>
      <c r="B53" s="4">
        <v>45748</v>
      </c>
      <c r="C53" s="3" t="s">
        <v>54</v>
      </c>
      <c r="D53" s="3" t="s">
        <v>62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f t="shared" si="0"/>
        <v>7.16</v>
      </c>
      <c r="L53" s="3">
        <f t="shared" si="1"/>
        <v>0</v>
      </c>
      <c r="M53" s="3">
        <v>0</v>
      </c>
      <c r="N53" s="3">
        <v>4.5999999999999996</v>
      </c>
      <c r="O53" s="3">
        <f t="shared" si="2"/>
        <v>4.5999999999999996</v>
      </c>
      <c r="P53" s="3">
        <f t="shared" si="3"/>
        <v>0</v>
      </c>
      <c r="Q53" s="3">
        <v>773815.14</v>
      </c>
      <c r="R53" s="3">
        <v>133948.39000000001</v>
      </c>
      <c r="S53" s="3">
        <f t="shared" si="4"/>
        <v>0</v>
      </c>
      <c r="T53" s="3">
        <f t="shared" si="5"/>
        <v>1</v>
      </c>
      <c r="U53" s="3">
        <f t="shared" si="6"/>
        <v>0</v>
      </c>
      <c r="V53" s="3">
        <f t="shared" si="7"/>
        <v>1</v>
      </c>
      <c r="W53" s="3">
        <f t="shared" si="8"/>
        <v>0</v>
      </c>
      <c r="X53" s="3">
        <f t="shared" si="9"/>
        <v>0</v>
      </c>
      <c r="Y53" s="3">
        <f t="shared" si="10"/>
        <v>0</v>
      </c>
    </row>
    <row r="54" spans="1:25" ht="14.45">
      <c r="A54" s="3" t="s">
        <v>69</v>
      </c>
      <c r="B54" s="4">
        <v>45658</v>
      </c>
      <c r="C54" s="3" t="s">
        <v>61</v>
      </c>
      <c r="D54" s="3" t="s">
        <v>52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f t="shared" si="0"/>
        <v>22.02</v>
      </c>
      <c r="L54" s="3">
        <f t="shared" si="1"/>
        <v>0</v>
      </c>
      <c r="M54" s="3">
        <v>0</v>
      </c>
      <c r="N54" s="3">
        <v>3.9</v>
      </c>
      <c r="O54" s="3">
        <f t="shared" si="2"/>
        <v>3.9</v>
      </c>
      <c r="P54" s="3">
        <f t="shared" si="3"/>
        <v>0</v>
      </c>
      <c r="Q54" s="3">
        <v>463534.25</v>
      </c>
      <c r="R54" s="3">
        <v>81834.539999999994</v>
      </c>
      <c r="S54" s="3">
        <f t="shared" si="4"/>
        <v>1</v>
      </c>
      <c r="T54" s="3">
        <f t="shared" si="5"/>
        <v>0</v>
      </c>
      <c r="U54" s="3">
        <f t="shared" si="6"/>
        <v>0</v>
      </c>
      <c r="V54" s="3">
        <f t="shared" si="7"/>
        <v>0</v>
      </c>
      <c r="W54" s="3">
        <f t="shared" si="8"/>
        <v>0</v>
      </c>
      <c r="X54" s="3">
        <f t="shared" si="9"/>
        <v>1</v>
      </c>
      <c r="Y54" s="3">
        <f t="shared" si="10"/>
        <v>0</v>
      </c>
    </row>
    <row r="55" spans="1:25" ht="14.45">
      <c r="A55" s="3" t="s">
        <v>69</v>
      </c>
      <c r="B55" s="4">
        <v>45689</v>
      </c>
      <c r="C55" s="3" t="s">
        <v>61</v>
      </c>
      <c r="D55" s="3" t="s">
        <v>52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f t="shared" si="0"/>
        <v>6.18</v>
      </c>
      <c r="L55" s="3">
        <f t="shared" si="1"/>
        <v>0</v>
      </c>
      <c r="M55" s="3">
        <v>0</v>
      </c>
      <c r="N55" s="3">
        <v>4.7</v>
      </c>
      <c r="O55" s="3">
        <f t="shared" si="2"/>
        <v>4.7</v>
      </c>
      <c r="P55" s="3">
        <f t="shared" si="3"/>
        <v>0</v>
      </c>
      <c r="Q55" s="3">
        <v>746677.75</v>
      </c>
      <c r="R55" s="3">
        <v>122437.84</v>
      </c>
      <c r="S55" s="3">
        <f t="shared" si="4"/>
        <v>1</v>
      </c>
      <c r="T55" s="3">
        <f t="shared" si="5"/>
        <v>0</v>
      </c>
      <c r="U55" s="3">
        <f t="shared" si="6"/>
        <v>0</v>
      </c>
      <c r="V55" s="3">
        <f t="shared" si="7"/>
        <v>0</v>
      </c>
      <c r="W55" s="3">
        <f t="shared" si="8"/>
        <v>0</v>
      </c>
      <c r="X55" s="3">
        <f t="shared" si="9"/>
        <v>1</v>
      </c>
      <c r="Y55" s="3">
        <f t="shared" si="10"/>
        <v>0</v>
      </c>
    </row>
    <row r="56" spans="1:25" ht="14.45">
      <c r="A56" s="3" t="s">
        <v>69</v>
      </c>
      <c r="B56" s="4">
        <v>45717</v>
      </c>
      <c r="C56" s="3" t="s">
        <v>61</v>
      </c>
      <c r="D56" s="3" t="s">
        <v>52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f t="shared" si="0"/>
        <v>1.76</v>
      </c>
      <c r="L56" s="3">
        <f t="shared" si="1"/>
        <v>0</v>
      </c>
      <c r="M56" s="3">
        <v>0</v>
      </c>
      <c r="N56" s="3">
        <v>4.3</v>
      </c>
      <c r="O56" s="3">
        <f t="shared" si="2"/>
        <v>4.3</v>
      </c>
      <c r="P56" s="3">
        <f t="shared" si="3"/>
        <v>0</v>
      </c>
      <c r="Q56" s="3">
        <v>720852.5</v>
      </c>
      <c r="R56" s="3">
        <v>98565.62</v>
      </c>
      <c r="S56" s="3">
        <f t="shared" si="4"/>
        <v>1</v>
      </c>
      <c r="T56" s="3">
        <f t="shared" si="5"/>
        <v>0</v>
      </c>
      <c r="U56" s="3">
        <f t="shared" si="6"/>
        <v>0</v>
      </c>
      <c r="V56" s="3">
        <f t="shared" si="7"/>
        <v>0</v>
      </c>
      <c r="W56" s="3">
        <f t="shared" si="8"/>
        <v>0</v>
      </c>
      <c r="X56" s="3">
        <f t="shared" si="9"/>
        <v>1</v>
      </c>
      <c r="Y56" s="3">
        <f t="shared" si="10"/>
        <v>0</v>
      </c>
    </row>
    <row r="57" spans="1:25" ht="14.45">
      <c r="A57" s="3" t="s">
        <v>69</v>
      </c>
      <c r="B57" s="4">
        <v>45748</v>
      </c>
      <c r="C57" s="3" t="s">
        <v>61</v>
      </c>
      <c r="D57" s="3" t="s">
        <v>52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f t="shared" si="0"/>
        <v>0.47</v>
      </c>
      <c r="L57" s="3">
        <f t="shared" si="1"/>
        <v>0</v>
      </c>
      <c r="M57" s="3">
        <v>0</v>
      </c>
      <c r="N57" s="3">
        <v>4.0999999999999996</v>
      </c>
      <c r="O57" s="3">
        <f t="shared" si="2"/>
        <v>4.0999999999999996</v>
      </c>
      <c r="P57" s="3">
        <f t="shared" si="3"/>
        <v>0</v>
      </c>
      <c r="Q57" s="3">
        <v>487464.91</v>
      </c>
      <c r="R57" s="3">
        <v>64562.26</v>
      </c>
      <c r="S57" s="3">
        <f t="shared" si="4"/>
        <v>1</v>
      </c>
      <c r="T57" s="3">
        <f t="shared" si="5"/>
        <v>0</v>
      </c>
      <c r="U57" s="3">
        <f t="shared" si="6"/>
        <v>0</v>
      </c>
      <c r="V57" s="3">
        <f t="shared" si="7"/>
        <v>0</v>
      </c>
      <c r="W57" s="3">
        <f t="shared" si="8"/>
        <v>0</v>
      </c>
      <c r="X57" s="3">
        <f t="shared" si="9"/>
        <v>1</v>
      </c>
      <c r="Y57" s="3">
        <f t="shared" si="10"/>
        <v>0</v>
      </c>
    </row>
    <row r="58" spans="1:25" ht="14.45">
      <c r="A58" s="3" t="s">
        <v>70</v>
      </c>
      <c r="B58" s="4">
        <v>45658</v>
      </c>
      <c r="C58" s="3" t="s">
        <v>49</v>
      </c>
      <c r="D58" s="3" t="s">
        <v>55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f t="shared" si="0"/>
        <v>0.2</v>
      </c>
      <c r="L58" s="3">
        <f t="shared" si="1"/>
        <v>0</v>
      </c>
      <c r="M58" s="3">
        <v>0</v>
      </c>
      <c r="N58" s="3">
        <v>3.5</v>
      </c>
      <c r="O58" s="3">
        <f t="shared" si="2"/>
        <v>3.5</v>
      </c>
      <c r="P58" s="3">
        <f t="shared" si="3"/>
        <v>0</v>
      </c>
      <c r="Q58" s="3">
        <v>518049.26</v>
      </c>
      <c r="R58" s="3">
        <v>108592.49</v>
      </c>
      <c r="S58" s="3">
        <f t="shared" si="4"/>
        <v>0</v>
      </c>
      <c r="T58" s="3">
        <f t="shared" si="5"/>
        <v>0</v>
      </c>
      <c r="U58" s="3">
        <f t="shared" si="6"/>
        <v>0</v>
      </c>
      <c r="V58" s="3">
        <f t="shared" si="7"/>
        <v>0</v>
      </c>
      <c r="W58" s="3">
        <f t="shared" si="8"/>
        <v>0</v>
      </c>
      <c r="X58" s="3">
        <f t="shared" si="9"/>
        <v>0</v>
      </c>
      <c r="Y58" s="3">
        <f t="shared" si="10"/>
        <v>1</v>
      </c>
    </row>
    <row r="59" spans="1:25" ht="14.45">
      <c r="A59" s="3" t="s">
        <v>70</v>
      </c>
      <c r="B59" s="4">
        <v>45689</v>
      </c>
      <c r="C59" s="3" t="s">
        <v>49</v>
      </c>
      <c r="D59" s="3" t="s">
        <v>55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f t="shared" si="0"/>
        <v>5.1100000000000003</v>
      </c>
      <c r="L59" s="3">
        <f t="shared" si="1"/>
        <v>0</v>
      </c>
      <c r="M59" s="3">
        <v>0</v>
      </c>
      <c r="N59" s="3">
        <v>3.7</v>
      </c>
      <c r="O59" s="3">
        <f t="shared" si="2"/>
        <v>3.7</v>
      </c>
      <c r="P59" s="3">
        <f t="shared" si="3"/>
        <v>0</v>
      </c>
      <c r="Q59" s="3">
        <v>500298.48</v>
      </c>
      <c r="R59" s="3">
        <v>73461.320000000007</v>
      </c>
      <c r="S59" s="3">
        <f t="shared" si="4"/>
        <v>0</v>
      </c>
      <c r="T59" s="3">
        <f t="shared" si="5"/>
        <v>0</v>
      </c>
      <c r="U59" s="3">
        <f t="shared" si="6"/>
        <v>0</v>
      </c>
      <c r="V59" s="3">
        <f t="shared" si="7"/>
        <v>0</v>
      </c>
      <c r="W59" s="3">
        <f t="shared" si="8"/>
        <v>0</v>
      </c>
      <c r="X59" s="3">
        <f t="shared" si="9"/>
        <v>0</v>
      </c>
      <c r="Y59" s="3">
        <f t="shared" si="10"/>
        <v>1</v>
      </c>
    </row>
    <row r="60" spans="1:25" ht="14.45">
      <c r="A60" s="3" t="s">
        <v>70</v>
      </c>
      <c r="B60" s="4">
        <v>45717</v>
      </c>
      <c r="C60" s="3" t="s">
        <v>49</v>
      </c>
      <c r="D60" s="3" t="s">
        <v>55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f t="shared" si="0"/>
        <v>0.2</v>
      </c>
      <c r="L60" s="3">
        <f t="shared" si="1"/>
        <v>0</v>
      </c>
      <c r="M60" s="3">
        <v>0</v>
      </c>
      <c r="N60" s="3">
        <v>3.1</v>
      </c>
      <c r="O60" s="3">
        <f t="shared" si="2"/>
        <v>3.1</v>
      </c>
      <c r="P60" s="3">
        <f t="shared" si="3"/>
        <v>0</v>
      </c>
      <c r="Q60" s="3">
        <v>617291.15</v>
      </c>
      <c r="R60" s="3">
        <v>117782</v>
      </c>
      <c r="S60" s="3">
        <f t="shared" si="4"/>
        <v>0</v>
      </c>
      <c r="T60" s="3">
        <f t="shared" si="5"/>
        <v>0</v>
      </c>
      <c r="U60" s="3">
        <f t="shared" si="6"/>
        <v>0</v>
      </c>
      <c r="V60" s="3">
        <f t="shared" si="7"/>
        <v>0</v>
      </c>
      <c r="W60" s="3">
        <f t="shared" si="8"/>
        <v>0</v>
      </c>
      <c r="X60" s="3">
        <f t="shared" si="9"/>
        <v>0</v>
      </c>
      <c r="Y60" s="3">
        <f t="shared" si="10"/>
        <v>1</v>
      </c>
    </row>
    <row r="61" spans="1:25" ht="14.45">
      <c r="A61" s="3" t="s">
        <v>70</v>
      </c>
      <c r="B61" s="4">
        <v>45748</v>
      </c>
      <c r="C61" s="3" t="s">
        <v>49</v>
      </c>
      <c r="D61" s="3" t="s">
        <v>55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f t="shared" si="0"/>
        <v>13.59</v>
      </c>
      <c r="L61" s="3">
        <f t="shared" si="1"/>
        <v>0</v>
      </c>
      <c r="M61" s="3">
        <v>0</v>
      </c>
      <c r="N61" s="3">
        <v>3.1</v>
      </c>
      <c r="O61" s="3">
        <f t="shared" si="2"/>
        <v>3.1</v>
      </c>
      <c r="P61" s="3">
        <f t="shared" si="3"/>
        <v>0</v>
      </c>
      <c r="Q61" s="3">
        <v>553756.43000000005</v>
      </c>
      <c r="R61" s="3">
        <v>86166.77</v>
      </c>
      <c r="S61" s="3">
        <f t="shared" si="4"/>
        <v>0</v>
      </c>
      <c r="T61" s="3">
        <f t="shared" si="5"/>
        <v>0</v>
      </c>
      <c r="U61" s="3">
        <f t="shared" si="6"/>
        <v>0</v>
      </c>
      <c r="V61" s="3">
        <f t="shared" si="7"/>
        <v>0</v>
      </c>
      <c r="W61" s="3">
        <f t="shared" si="8"/>
        <v>0</v>
      </c>
      <c r="X61" s="3">
        <f t="shared" si="9"/>
        <v>0</v>
      </c>
      <c r="Y61" s="3">
        <f t="shared" si="10"/>
        <v>1</v>
      </c>
    </row>
    <row r="62" spans="1:25" ht="14.45">
      <c r="A62" s="3" t="s">
        <v>71</v>
      </c>
      <c r="B62" s="4">
        <v>45658</v>
      </c>
      <c r="C62" s="3" t="s">
        <v>58</v>
      </c>
      <c r="D62" s="3" t="s">
        <v>52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f t="shared" si="0"/>
        <v>1.02</v>
      </c>
      <c r="L62" s="3">
        <f t="shared" si="1"/>
        <v>0</v>
      </c>
      <c r="M62" s="3">
        <v>0</v>
      </c>
      <c r="N62" s="3">
        <v>3.7</v>
      </c>
      <c r="O62" s="3">
        <f t="shared" si="2"/>
        <v>3.7</v>
      </c>
      <c r="P62" s="3">
        <f t="shared" si="3"/>
        <v>0</v>
      </c>
      <c r="Q62" s="3">
        <v>749559.71</v>
      </c>
      <c r="R62" s="3">
        <v>144522.53</v>
      </c>
      <c r="S62" s="3">
        <f t="shared" si="4"/>
        <v>1</v>
      </c>
      <c r="T62" s="3">
        <f t="shared" si="5"/>
        <v>0</v>
      </c>
      <c r="U62" s="3">
        <f t="shared" si="6"/>
        <v>0</v>
      </c>
      <c r="V62" s="3">
        <f t="shared" si="7"/>
        <v>0</v>
      </c>
      <c r="W62" s="3">
        <f t="shared" si="8"/>
        <v>1</v>
      </c>
      <c r="X62" s="3">
        <f t="shared" si="9"/>
        <v>0</v>
      </c>
      <c r="Y62" s="3">
        <f t="shared" si="10"/>
        <v>0</v>
      </c>
    </row>
    <row r="63" spans="1:25" ht="14.45">
      <c r="A63" s="3" t="s">
        <v>71</v>
      </c>
      <c r="B63" s="4">
        <v>45689</v>
      </c>
      <c r="C63" s="3" t="s">
        <v>58</v>
      </c>
      <c r="D63" s="3" t="s">
        <v>52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f t="shared" si="0"/>
        <v>1.64</v>
      </c>
      <c r="L63" s="3">
        <f t="shared" si="1"/>
        <v>0</v>
      </c>
      <c r="M63" s="3">
        <v>0</v>
      </c>
      <c r="N63" s="3">
        <v>3.8</v>
      </c>
      <c r="O63" s="3">
        <f t="shared" si="2"/>
        <v>3.8</v>
      </c>
      <c r="P63" s="3">
        <f t="shared" si="3"/>
        <v>0</v>
      </c>
      <c r="Q63" s="3">
        <v>615966.48</v>
      </c>
      <c r="R63" s="3">
        <v>91509.38</v>
      </c>
      <c r="S63" s="3">
        <f t="shared" si="4"/>
        <v>1</v>
      </c>
      <c r="T63" s="3">
        <f t="shared" si="5"/>
        <v>0</v>
      </c>
      <c r="U63" s="3">
        <f t="shared" si="6"/>
        <v>0</v>
      </c>
      <c r="V63" s="3">
        <f t="shared" si="7"/>
        <v>0</v>
      </c>
      <c r="W63" s="3">
        <f t="shared" si="8"/>
        <v>1</v>
      </c>
      <c r="X63" s="3">
        <f t="shared" si="9"/>
        <v>0</v>
      </c>
      <c r="Y63" s="3">
        <f t="shared" si="10"/>
        <v>0</v>
      </c>
    </row>
    <row r="64" spans="1:25" ht="14.45">
      <c r="A64" s="3" t="s">
        <v>71</v>
      </c>
      <c r="B64" s="4">
        <v>45717</v>
      </c>
      <c r="C64" s="3" t="s">
        <v>58</v>
      </c>
      <c r="D64" s="3" t="s">
        <v>52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f t="shared" si="0"/>
        <v>5.15</v>
      </c>
      <c r="L64" s="3">
        <f t="shared" si="1"/>
        <v>0</v>
      </c>
      <c r="M64" s="3">
        <v>0</v>
      </c>
      <c r="N64" s="3">
        <v>3.3</v>
      </c>
      <c r="O64" s="3">
        <f t="shared" si="2"/>
        <v>3.3</v>
      </c>
      <c r="P64" s="3">
        <f t="shared" si="3"/>
        <v>0</v>
      </c>
      <c r="Q64" s="3">
        <v>572011.19999999995</v>
      </c>
      <c r="R64" s="3">
        <v>101409.68</v>
      </c>
      <c r="S64" s="3">
        <f t="shared" si="4"/>
        <v>1</v>
      </c>
      <c r="T64" s="3">
        <f t="shared" si="5"/>
        <v>0</v>
      </c>
      <c r="U64" s="3">
        <f t="shared" si="6"/>
        <v>0</v>
      </c>
      <c r="V64" s="3">
        <f t="shared" si="7"/>
        <v>0</v>
      </c>
      <c r="W64" s="3">
        <f t="shared" si="8"/>
        <v>1</v>
      </c>
      <c r="X64" s="3">
        <f t="shared" si="9"/>
        <v>0</v>
      </c>
      <c r="Y64" s="3">
        <f t="shared" si="10"/>
        <v>0</v>
      </c>
    </row>
    <row r="65" spans="1:25" ht="14.45">
      <c r="A65" s="3" t="s">
        <v>71</v>
      </c>
      <c r="B65" s="4">
        <v>45748</v>
      </c>
      <c r="C65" s="3" t="s">
        <v>58</v>
      </c>
      <c r="D65" s="3" t="s">
        <v>52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f t="shared" si="0"/>
        <v>1.1100000000000001</v>
      </c>
      <c r="L65" s="3">
        <f t="shared" si="1"/>
        <v>0</v>
      </c>
      <c r="M65" s="3">
        <v>0</v>
      </c>
      <c r="N65" s="3">
        <v>3.5</v>
      </c>
      <c r="O65" s="3">
        <f t="shared" si="2"/>
        <v>3.5</v>
      </c>
      <c r="P65" s="3">
        <f t="shared" si="3"/>
        <v>0</v>
      </c>
      <c r="Q65" s="3">
        <v>761860.19</v>
      </c>
      <c r="R65" s="3">
        <v>133279.38</v>
      </c>
      <c r="S65" s="3">
        <f t="shared" si="4"/>
        <v>1</v>
      </c>
      <c r="T65" s="3">
        <f t="shared" si="5"/>
        <v>0</v>
      </c>
      <c r="U65" s="3">
        <f t="shared" si="6"/>
        <v>0</v>
      </c>
      <c r="V65" s="3">
        <f t="shared" si="7"/>
        <v>0</v>
      </c>
      <c r="W65" s="3">
        <f t="shared" si="8"/>
        <v>1</v>
      </c>
      <c r="X65" s="3">
        <f t="shared" si="9"/>
        <v>0</v>
      </c>
      <c r="Y65" s="3">
        <f t="shared" si="10"/>
        <v>0</v>
      </c>
    </row>
    <row r="66" spans="1:25" ht="14.45">
      <c r="A66" s="3" t="s">
        <v>72</v>
      </c>
      <c r="B66" s="4">
        <v>45658</v>
      </c>
      <c r="C66" s="3" t="s">
        <v>61</v>
      </c>
      <c r="D66" s="3" t="s">
        <v>52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f t="shared" si="0"/>
        <v>6.08</v>
      </c>
      <c r="L66" s="3">
        <f t="shared" si="1"/>
        <v>0</v>
      </c>
      <c r="M66" s="3">
        <v>1</v>
      </c>
      <c r="N66" s="3">
        <v>3.4</v>
      </c>
      <c r="O66" s="3">
        <f t="shared" si="2"/>
        <v>3.4</v>
      </c>
      <c r="P66" s="3">
        <f t="shared" si="3"/>
        <v>0</v>
      </c>
      <c r="Q66" s="3">
        <v>784502.68</v>
      </c>
      <c r="R66" s="3">
        <v>129519.72</v>
      </c>
      <c r="S66" s="3">
        <f t="shared" si="4"/>
        <v>1</v>
      </c>
      <c r="T66" s="3">
        <f t="shared" si="5"/>
        <v>0</v>
      </c>
      <c r="U66" s="3">
        <f t="shared" si="6"/>
        <v>0</v>
      </c>
      <c r="V66" s="3">
        <f t="shared" si="7"/>
        <v>0</v>
      </c>
      <c r="W66" s="3">
        <f t="shared" si="8"/>
        <v>0</v>
      </c>
      <c r="X66" s="3">
        <f t="shared" si="9"/>
        <v>1</v>
      </c>
      <c r="Y66" s="3">
        <f t="shared" si="10"/>
        <v>0</v>
      </c>
    </row>
    <row r="67" spans="1:25" ht="14.45">
      <c r="A67" s="3" t="s">
        <v>72</v>
      </c>
      <c r="B67" s="4">
        <v>45689</v>
      </c>
      <c r="C67" s="3" t="s">
        <v>61</v>
      </c>
      <c r="D67" s="3" t="s">
        <v>52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f t="shared" ref="K67:K130" si="11">IF(ISBLANK(J67),MEDIAN($J$2:$J$321),J67)</f>
        <v>10.91</v>
      </c>
      <c r="L67" s="3">
        <f t="shared" ref="L67:L130" si="12">IF(ISBLANK(J67),1,0)</f>
        <v>0</v>
      </c>
      <c r="M67" s="3">
        <v>0</v>
      </c>
      <c r="N67" s="3">
        <v>3.6</v>
      </c>
      <c r="O67" s="3">
        <f t="shared" ref="O67:O130" si="13">IF(ISBLANK(N67),MEDIAN($N$2:$N$321),N67)</f>
        <v>3.6</v>
      </c>
      <c r="P67" s="3">
        <f t="shared" ref="P67:P130" si="14">IF(ISBLANK(N67),1,0)</f>
        <v>0</v>
      </c>
      <c r="Q67" s="3">
        <v>717141.55</v>
      </c>
      <c r="R67" s="3">
        <v>134013.60999999999</v>
      </c>
      <c r="S67" s="3">
        <f t="shared" ref="S67:S130" si="15">IF(D67="High Street",1,0)</f>
        <v>1</v>
      </c>
      <c r="T67" s="3">
        <f t="shared" ref="T67:T130" si="16">IF(D67="Mall",1,0)</f>
        <v>0</v>
      </c>
      <c r="U67" s="3">
        <f t="shared" ref="U67:U130" si="17">IF(D67="Residential",1,0)</f>
        <v>0</v>
      </c>
      <c r="V67" s="3">
        <f t="shared" ref="V67:V130" si="18">IF(C67="North",1,0)</f>
        <v>0</v>
      </c>
      <c r="W67" s="3">
        <f t="shared" ref="W67:W130" si="19">IF(C67="South",1,0)</f>
        <v>0</v>
      </c>
      <c r="X67" s="3">
        <f t="shared" ref="X67:X130" si="20">IF(C67="West",1,0)</f>
        <v>1</v>
      </c>
      <c r="Y67" s="3">
        <f t="shared" ref="Y67:Y130" si="21">IF(C67="East",1,0)</f>
        <v>0</v>
      </c>
    </row>
    <row r="68" spans="1:25" ht="14.45">
      <c r="A68" s="3" t="s">
        <v>72</v>
      </c>
      <c r="B68" s="4">
        <v>45717</v>
      </c>
      <c r="C68" s="3" t="s">
        <v>61</v>
      </c>
      <c r="D68" s="3" t="s">
        <v>52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f t="shared" si="11"/>
        <v>19.010000000000002</v>
      </c>
      <c r="L68" s="3">
        <f t="shared" si="12"/>
        <v>0</v>
      </c>
      <c r="M68" s="3">
        <v>1</v>
      </c>
      <c r="N68" s="3">
        <v>3.2</v>
      </c>
      <c r="O68" s="3">
        <f t="shared" si="13"/>
        <v>3.2</v>
      </c>
      <c r="P68" s="3">
        <f t="shared" si="14"/>
        <v>0</v>
      </c>
      <c r="Q68" s="3">
        <v>685379.08</v>
      </c>
      <c r="R68" s="3">
        <v>106898.82</v>
      </c>
      <c r="S68" s="3">
        <f t="shared" si="15"/>
        <v>1</v>
      </c>
      <c r="T68" s="3">
        <f t="shared" si="16"/>
        <v>0</v>
      </c>
      <c r="U68" s="3">
        <f t="shared" si="17"/>
        <v>0</v>
      </c>
      <c r="V68" s="3">
        <f t="shared" si="18"/>
        <v>0</v>
      </c>
      <c r="W68" s="3">
        <f t="shared" si="19"/>
        <v>0</v>
      </c>
      <c r="X68" s="3">
        <f t="shared" si="20"/>
        <v>1</v>
      </c>
      <c r="Y68" s="3">
        <f t="shared" si="21"/>
        <v>0</v>
      </c>
    </row>
    <row r="69" spans="1:25" ht="14.45">
      <c r="A69" s="3" t="s">
        <v>72</v>
      </c>
      <c r="B69" s="4">
        <v>45748</v>
      </c>
      <c r="C69" s="3" t="s">
        <v>61</v>
      </c>
      <c r="D69" s="3" t="s">
        <v>52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f t="shared" si="11"/>
        <v>0.77</v>
      </c>
      <c r="L69" s="3">
        <f t="shared" si="12"/>
        <v>0</v>
      </c>
      <c r="M69" s="3">
        <v>0</v>
      </c>
      <c r="N69" s="3">
        <v>3.4</v>
      </c>
      <c r="O69" s="3">
        <f t="shared" si="13"/>
        <v>3.4</v>
      </c>
      <c r="P69" s="3">
        <f t="shared" si="14"/>
        <v>0</v>
      </c>
      <c r="Q69" s="3">
        <v>740496.65</v>
      </c>
      <c r="R69" s="3">
        <v>128020.9</v>
      </c>
      <c r="S69" s="3">
        <f t="shared" si="15"/>
        <v>1</v>
      </c>
      <c r="T69" s="3">
        <f t="shared" si="16"/>
        <v>0</v>
      </c>
      <c r="U69" s="3">
        <f t="shared" si="17"/>
        <v>0</v>
      </c>
      <c r="V69" s="3">
        <f t="shared" si="18"/>
        <v>0</v>
      </c>
      <c r="W69" s="3">
        <f t="shared" si="19"/>
        <v>0</v>
      </c>
      <c r="X69" s="3">
        <f t="shared" si="20"/>
        <v>1</v>
      </c>
      <c r="Y69" s="3">
        <f t="shared" si="21"/>
        <v>0</v>
      </c>
    </row>
    <row r="70" spans="1:25" ht="14.45">
      <c r="A70" s="3" t="s">
        <v>73</v>
      </c>
      <c r="B70" s="4">
        <v>45658</v>
      </c>
      <c r="C70" s="3" t="s">
        <v>49</v>
      </c>
      <c r="D70" s="3" t="s">
        <v>52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f t="shared" si="11"/>
        <v>2.83</v>
      </c>
      <c r="L70" s="3">
        <f t="shared" si="12"/>
        <v>0</v>
      </c>
      <c r="M70" s="3">
        <v>1</v>
      </c>
      <c r="N70" s="3">
        <v>3.3</v>
      </c>
      <c r="O70" s="3">
        <f t="shared" si="13"/>
        <v>3.3</v>
      </c>
      <c r="P70" s="3">
        <f t="shared" si="14"/>
        <v>0</v>
      </c>
      <c r="Q70" s="3">
        <v>661927.14</v>
      </c>
      <c r="R70" s="3">
        <v>79218.570000000007</v>
      </c>
      <c r="S70" s="3">
        <f t="shared" si="15"/>
        <v>1</v>
      </c>
      <c r="T70" s="3">
        <f t="shared" si="16"/>
        <v>0</v>
      </c>
      <c r="U70" s="3">
        <f t="shared" si="17"/>
        <v>0</v>
      </c>
      <c r="V70" s="3">
        <f t="shared" si="18"/>
        <v>0</v>
      </c>
      <c r="W70" s="3">
        <f t="shared" si="19"/>
        <v>0</v>
      </c>
      <c r="X70" s="3">
        <f t="shared" si="20"/>
        <v>0</v>
      </c>
      <c r="Y70" s="3">
        <f t="shared" si="21"/>
        <v>1</v>
      </c>
    </row>
    <row r="71" spans="1:25" ht="14.45">
      <c r="A71" s="3" t="s">
        <v>73</v>
      </c>
      <c r="B71" s="4">
        <v>45689</v>
      </c>
      <c r="C71" s="3" t="s">
        <v>49</v>
      </c>
      <c r="D71" s="3" t="s">
        <v>52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f t="shared" si="11"/>
        <v>2.33</v>
      </c>
      <c r="L71" s="3">
        <f t="shared" si="12"/>
        <v>0</v>
      </c>
      <c r="M71" s="3">
        <v>0</v>
      </c>
      <c r="N71" s="3">
        <v>3.3</v>
      </c>
      <c r="O71" s="3">
        <f t="shared" si="13"/>
        <v>3.3</v>
      </c>
      <c r="P71" s="3">
        <f t="shared" si="14"/>
        <v>0</v>
      </c>
      <c r="Q71" s="3">
        <v>479050.5</v>
      </c>
      <c r="R71" s="3">
        <v>53651.11</v>
      </c>
      <c r="S71" s="3">
        <f t="shared" si="15"/>
        <v>1</v>
      </c>
      <c r="T71" s="3">
        <f t="shared" si="16"/>
        <v>0</v>
      </c>
      <c r="U71" s="3">
        <f t="shared" si="17"/>
        <v>0</v>
      </c>
      <c r="V71" s="3">
        <f t="shared" si="18"/>
        <v>0</v>
      </c>
      <c r="W71" s="3">
        <f t="shared" si="19"/>
        <v>0</v>
      </c>
      <c r="X71" s="3">
        <f t="shared" si="20"/>
        <v>0</v>
      </c>
      <c r="Y71" s="3">
        <f t="shared" si="21"/>
        <v>1</v>
      </c>
    </row>
    <row r="72" spans="1:25" ht="14.45">
      <c r="A72" s="3" t="s">
        <v>73</v>
      </c>
      <c r="B72" s="4">
        <v>45717</v>
      </c>
      <c r="C72" s="3" t="s">
        <v>49</v>
      </c>
      <c r="D72" s="3" t="s">
        <v>52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f t="shared" si="11"/>
        <v>1.43</v>
      </c>
      <c r="L72" s="3">
        <f t="shared" si="12"/>
        <v>0</v>
      </c>
      <c r="M72" s="3">
        <v>0</v>
      </c>
      <c r="N72" s="3">
        <v>3.2</v>
      </c>
      <c r="O72" s="3">
        <f t="shared" si="13"/>
        <v>3.2</v>
      </c>
      <c r="P72" s="3">
        <f t="shared" si="14"/>
        <v>0</v>
      </c>
      <c r="Q72" s="3">
        <v>605023.87</v>
      </c>
      <c r="R72" s="3">
        <v>98545.81</v>
      </c>
      <c r="S72" s="3">
        <f t="shared" si="15"/>
        <v>1</v>
      </c>
      <c r="T72" s="3">
        <f t="shared" si="16"/>
        <v>0</v>
      </c>
      <c r="U72" s="3">
        <f t="shared" si="17"/>
        <v>0</v>
      </c>
      <c r="V72" s="3">
        <f t="shared" si="18"/>
        <v>0</v>
      </c>
      <c r="W72" s="3">
        <f t="shared" si="19"/>
        <v>0</v>
      </c>
      <c r="X72" s="3">
        <f t="shared" si="20"/>
        <v>0</v>
      </c>
      <c r="Y72" s="3">
        <f t="shared" si="21"/>
        <v>1</v>
      </c>
    </row>
    <row r="73" spans="1:25" ht="14.45">
      <c r="A73" s="3" t="s">
        <v>73</v>
      </c>
      <c r="B73" s="4">
        <v>45748</v>
      </c>
      <c r="C73" s="3" t="s">
        <v>49</v>
      </c>
      <c r="D73" s="3" t="s">
        <v>52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f t="shared" si="11"/>
        <v>3.3650000000000002</v>
      </c>
      <c r="L73" s="3">
        <f t="shared" si="12"/>
        <v>1</v>
      </c>
      <c r="M73" s="3">
        <v>0</v>
      </c>
      <c r="N73" s="3">
        <v>3.5</v>
      </c>
      <c r="O73" s="3">
        <f t="shared" si="13"/>
        <v>3.5</v>
      </c>
      <c r="P73" s="3">
        <f t="shared" si="14"/>
        <v>0</v>
      </c>
      <c r="Q73" s="3">
        <v>674774.09</v>
      </c>
      <c r="R73" s="3">
        <v>141917.59</v>
      </c>
      <c r="S73" s="3">
        <f t="shared" si="15"/>
        <v>1</v>
      </c>
      <c r="T73" s="3">
        <f t="shared" si="16"/>
        <v>0</v>
      </c>
      <c r="U73" s="3">
        <f t="shared" si="17"/>
        <v>0</v>
      </c>
      <c r="V73" s="3">
        <f t="shared" si="18"/>
        <v>0</v>
      </c>
      <c r="W73" s="3">
        <f t="shared" si="19"/>
        <v>0</v>
      </c>
      <c r="X73" s="3">
        <f t="shared" si="20"/>
        <v>0</v>
      </c>
      <c r="Y73" s="3">
        <f t="shared" si="21"/>
        <v>1</v>
      </c>
    </row>
    <row r="74" spans="1:25" ht="14.45">
      <c r="A74" s="3" t="s">
        <v>74</v>
      </c>
      <c r="B74" s="4">
        <v>45658</v>
      </c>
      <c r="C74" s="3" t="s">
        <v>49</v>
      </c>
      <c r="D74" s="3" t="s">
        <v>50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f t="shared" si="11"/>
        <v>4.91</v>
      </c>
      <c r="L74" s="3">
        <f t="shared" si="12"/>
        <v>0</v>
      </c>
      <c r="M74" s="3">
        <v>0</v>
      </c>
      <c r="N74" s="3">
        <v>4.5</v>
      </c>
      <c r="O74" s="3">
        <f t="shared" si="13"/>
        <v>4.5</v>
      </c>
      <c r="P74" s="3">
        <f t="shared" si="14"/>
        <v>0</v>
      </c>
      <c r="Q74" s="3">
        <v>616069.41</v>
      </c>
      <c r="R74" s="3">
        <v>54453.99</v>
      </c>
      <c r="S74" s="3">
        <f t="shared" si="15"/>
        <v>0</v>
      </c>
      <c r="T74" s="3">
        <f t="shared" si="16"/>
        <v>0</v>
      </c>
      <c r="U74" s="3">
        <f t="shared" si="17"/>
        <v>1</v>
      </c>
      <c r="V74" s="3">
        <f t="shared" si="18"/>
        <v>0</v>
      </c>
      <c r="W74" s="3">
        <f t="shared" si="19"/>
        <v>0</v>
      </c>
      <c r="X74" s="3">
        <f t="shared" si="20"/>
        <v>0</v>
      </c>
      <c r="Y74" s="3">
        <f t="shared" si="21"/>
        <v>1</v>
      </c>
    </row>
    <row r="75" spans="1:25" ht="14.45">
      <c r="A75" s="3" t="s">
        <v>74</v>
      </c>
      <c r="B75" s="4">
        <v>45689</v>
      </c>
      <c r="C75" s="3" t="s">
        <v>49</v>
      </c>
      <c r="D75" s="3" t="s">
        <v>50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f t="shared" si="11"/>
        <v>7.03</v>
      </c>
      <c r="L75" s="3">
        <f t="shared" si="12"/>
        <v>0</v>
      </c>
      <c r="M75" s="3">
        <v>0</v>
      </c>
      <c r="N75" s="3">
        <v>4.4000000000000004</v>
      </c>
      <c r="O75" s="3">
        <f t="shared" si="13"/>
        <v>4.4000000000000004</v>
      </c>
      <c r="P75" s="3">
        <f t="shared" si="14"/>
        <v>0</v>
      </c>
      <c r="Q75" s="3">
        <v>630829.93999999994</v>
      </c>
      <c r="R75" s="3">
        <v>117090.02</v>
      </c>
      <c r="S75" s="3">
        <f t="shared" si="15"/>
        <v>0</v>
      </c>
      <c r="T75" s="3">
        <f t="shared" si="16"/>
        <v>0</v>
      </c>
      <c r="U75" s="3">
        <f t="shared" si="17"/>
        <v>1</v>
      </c>
      <c r="V75" s="3">
        <f t="shared" si="18"/>
        <v>0</v>
      </c>
      <c r="W75" s="3">
        <f t="shared" si="19"/>
        <v>0</v>
      </c>
      <c r="X75" s="3">
        <f t="shared" si="20"/>
        <v>0</v>
      </c>
      <c r="Y75" s="3">
        <f t="shared" si="21"/>
        <v>1</v>
      </c>
    </row>
    <row r="76" spans="1:25" ht="14.45">
      <c r="A76" s="3" t="s">
        <v>74</v>
      </c>
      <c r="B76" s="4">
        <v>45717</v>
      </c>
      <c r="C76" s="3" t="s">
        <v>49</v>
      </c>
      <c r="D76" s="3" t="s">
        <v>50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f t="shared" si="11"/>
        <v>0.28000000000000003</v>
      </c>
      <c r="L76" s="3">
        <f t="shared" si="12"/>
        <v>0</v>
      </c>
      <c r="M76" s="3">
        <v>1</v>
      </c>
      <c r="N76" s="3">
        <v>4.3</v>
      </c>
      <c r="O76" s="3">
        <f t="shared" si="13"/>
        <v>4.3</v>
      </c>
      <c r="P76" s="3">
        <f t="shared" si="14"/>
        <v>0</v>
      </c>
      <c r="Q76" s="3">
        <v>788087.68</v>
      </c>
      <c r="R76" s="3">
        <v>116803.42</v>
      </c>
      <c r="S76" s="3">
        <f t="shared" si="15"/>
        <v>0</v>
      </c>
      <c r="T76" s="3">
        <f t="shared" si="16"/>
        <v>0</v>
      </c>
      <c r="U76" s="3">
        <f t="shared" si="17"/>
        <v>1</v>
      </c>
      <c r="V76" s="3">
        <f t="shared" si="18"/>
        <v>0</v>
      </c>
      <c r="W76" s="3">
        <f t="shared" si="19"/>
        <v>0</v>
      </c>
      <c r="X76" s="3">
        <f t="shared" si="20"/>
        <v>0</v>
      </c>
      <c r="Y76" s="3">
        <f t="shared" si="21"/>
        <v>1</v>
      </c>
    </row>
    <row r="77" spans="1:25" ht="14.45">
      <c r="A77" s="3" t="s">
        <v>74</v>
      </c>
      <c r="B77" s="4">
        <v>45748</v>
      </c>
      <c r="C77" s="3" t="s">
        <v>49</v>
      </c>
      <c r="D77" s="3" t="s">
        <v>50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f t="shared" si="11"/>
        <v>3.61</v>
      </c>
      <c r="L77" s="3">
        <f t="shared" si="12"/>
        <v>0</v>
      </c>
      <c r="M77" s="3">
        <v>0</v>
      </c>
      <c r="N77" s="3">
        <v>4.5</v>
      </c>
      <c r="O77" s="3">
        <f t="shared" si="13"/>
        <v>4.5</v>
      </c>
      <c r="P77" s="3">
        <f t="shared" si="14"/>
        <v>0</v>
      </c>
      <c r="Q77" s="3">
        <v>680840.36</v>
      </c>
      <c r="R77" s="3">
        <v>68007.679999999993</v>
      </c>
      <c r="S77" s="3">
        <f t="shared" si="15"/>
        <v>0</v>
      </c>
      <c r="T77" s="3">
        <f t="shared" si="16"/>
        <v>0</v>
      </c>
      <c r="U77" s="3">
        <f t="shared" si="17"/>
        <v>1</v>
      </c>
      <c r="V77" s="3">
        <f t="shared" si="18"/>
        <v>0</v>
      </c>
      <c r="W77" s="3">
        <f t="shared" si="19"/>
        <v>0</v>
      </c>
      <c r="X77" s="3">
        <f t="shared" si="20"/>
        <v>0</v>
      </c>
      <c r="Y77" s="3">
        <f t="shared" si="21"/>
        <v>1</v>
      </c>
    </row>
    <row r="78" spans="1:25" ht="14.45">
      <c r="A78" s="3" t="s">
        <v>75</v>
      </c>
      <c r="B78" s="4">
        <v>45658</v>
      </c>
      <c r="C78" s="3" t="s">
        <v>58</v>
      </c>
      <c r="D78" s="3" t="s">
        <v>52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f t="shared" si="11"/>
        <v>7.52</v>
      </c>
      <c r="L78" s="3">
        <f t="shared" si="12"/>
        <v>0</v>
      </c>
      <c r="M78" s="3">
        <v>1</v>
      </c>
      <c r="N78" s="3">
        <v>3.2</v>
      </c>
      <c r="O78" s="3">
        <f t="shared" si="13"/>
        <v>3.2</v>
      </c>
      <c r="P78" s="3">
        <f t="shared" si="14"/>
        <v>0</v>
      </c>
      <c r="Q78" s="3">
        <v>643657.47</v>
      </c>
      <c r="R78" s="3">
        <v>87022.45</v>
      </c>
      <c r="S78" s="3">
        <f t="shared" si="15"/>
        <v>1</v>
      </c>
      <c r="T78" s="3">
        <f t="shared" si="16"/>
        <v>0</v>
      </c>
      <c r="U78" s="3">
        <f t="shared" si="17"/>
        <v>0</v>
      </c>
      <c r="V78" s="3">
        <f t="shared" si="18"/>
        <v>0</v>
      </c>
      <c r="W78" s="3">
        <f t="shared" si="19"/>
        <v>1</v>
      </c>
      <c r="X78" s="3">
        <f t="shared" si="20"/>
        <v>0</v>
      </c>
      <c r="Y78" s="3">
        <f t="shared" si="21"/>
        <v>0</v>
      </c>
    </row>
    <row r="79" spans="1:25" ht="14.45">
      <c r="A79" s="3" t="s">
        <v>75</v>
      </c>
      <c r="B79" s="4">
        <v>45689</v>
      </c>
      <c r="C79" s="3" t="s">
        <v>58</v>
      </c>
      <c r="D79" s="3" t="s">
        <v>52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f t="shared" si="11"/>
        <v>2.58</v>
      </c>
      <c r="L79" s="3">
        <f t="shared" si="12"/>
        <v>0</v>
      </c>
      <c r="M79" s="3">
        <v>0</v>
      </c>
      <c r="N79" s="3">
        <v>2.9</v>
      </c>
      <c r="O79" s="3">
        <f t="shared" si="13"/>
        <v>2.9</v>
      </c>
      <c r="P79" s="3">
        <f t="shared" si="14"/>
        <v>0</v>
      </c>
      <c r="Q79" s="3">
        <v>691112.6</v>
      </c>
      <c r="R79" s="3">
        <v>109212.83</v>
      </c>
      <c r="S79" s="3">
        <f t="shared" si="15"/>
        <v>1</v>
      </c>
      <c r="T79" s="3">
        <f t="shared" si="16"/>
        <v>0</v>
      </c>
      <c r="U79" s="3">
        <f t="shared" si="17"/>
        <v>0</v>
      </c>
      <c r="V79" s="3">
        <f t="shared" si="18"/>
        <v>0</v>
      </c>
      <c r="W79" s="3">
        <f t="shared" si="19"/>
        <v>1</v>
      </c>
      <c r="X79" s="3">
        <f t="shared" si="20"/>
        <v>0</v>
      </c>
      <c r="Y79" s="3">
        <f t="shared" si="21"/>
        <v>0</v>
      </c>
    </row>
    <row r="80" spans="1:25" ht="14.45">
      <c r="A80" s="3" t="s">
        <v>75</v>
      </c>
      <c r="B80" s="4">
        <v>45717</v>
      </c>
      <c r="C80" s="3" t="s">
        <v>58</v>
      </c>
      <c r="D80" s="3" t="s">
        <v>52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f t="shared" si="11"/>
        <v>2.29</v>
      </c>
      <c r="L80" s="3">
        <f t="shared" si="12"/>
        <v>0</v>
      </c>
      <c r="M80" s="3">
        <v>0</v>
      </c>
      <c r="N80" s="3">
        <v>3.3</v>
      </c>
      <c r="O80" s="3">
        <f t="shared" si="13"/>
        <v>3.3</v>
      </c>
      <c r="P80" s="3">
        <f t="shared" si="14"/>
        <v>0</v>
      </c>
      <c r="Q80" s="3">
        <v>776922.17</v>
      </c>
      <c r="R80" s="3">
        <v>150701.93</v>
      </c>
      <c r="S80" s="3">
        <f t="shared" si="15"/>
        <v>1</v>
      </c>
      <c r="T80" s="3">
        <f t="shared" si="16"/>
        <v>0</v>
      </c>
      <c r="U80" s="3">
        <f t="shared" si="17"/>
        <v>0</v>
      </c>
      <c r="V80" s="3">
        <f t="shared" si="18"/>
        <v>0</v>
      </c>
      <c r="W80" s="3">
        <f t="shared" si="19"/>
        <v>1</v>
      </c>
      <c r="X80" s="3">
        <f t="shared" si="20"/>
        <v>0</v>
      </c>
      <c r="Y80" s="3">
        <f t="shared" si="21"/>
        <v>0</v>
      </c>
    </row>
    <row r="81" spans="1:25" ht="14.45">
      <c r="A81" s="3" t="s">
        <v>75</v>
      </c>
      <c r="B81" s="4">
        <v>45748</v>
      </c>
      <c r="C81" s="3" t="s">
        <v>58</v>
      </c>
      <c r="D81" s="3" t="s">
        <v>52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f t="shared" si="11"/>
        <v>2.39</v>
      </c>
      <c r="L81" s="3">
        <f t="shared" si="12"/>
        <v>0</v>
      </c>
      <c r="M81" s="3">
        <v>0</v>
      </c>
      <c r="N81" s="3">
        <v>3.2</v>
      </c>
      <c r="O81" s="3">
        <f t="shared" si="13"/>
        <v>3.2</v>
      </c>
      <c r="P81" s="3">
        <f t="shared" si="14"/>
        <v>0</v>
      </c>
      <c r="Q81" s="3">
        <v>636561.34</v>
      </c>
      <c r="R81" s="3">
        <v>93861.06</v>
      </c>
      <c r="S81" s="3">
        <f t="shared" si="15"/>
        <v>1</v>
      </c>
      <c r="T81" s="3">
        <f t="shared" si="16"/>
        <v>0</v>
      </c>
      <c r="U81" s="3">
        <f t="shared" si="17"/>
        <v>0</v>
      </c>
      <c r="V81" s="3">
        <f t="shared" si="18"/>
        <v>0</v>
      </c>
      <c r="W81" s="3">
        <f t="shared" si="19"/>
        <v>1</v>
      </c>
      <c r="X81" s="3">
        <f t="shared" si="20"/>
        <v>0</v>
      </c>
      <c r="Y81" s="3">
        <f t="shared" si="21"/>
        <v>0</v>
      </c>
    </row>
    <row r="82" spans="1:25" ht="14.45">
      <c r="A82" s="3" t="s">
        <v>76</v>
      </c>
      <c r="B82" s="4">
        <v>45658</v>
      </c>
      <c r="C82" s="3" t="s">
        <v>61</v>
      </c>
      <c r="D82" s="3" t="s">
        <v>62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f t="shared" si="11"/>
        <v>5.24</v>
      </c>
      <c r="L82" s="3">
        <f t="shared" si="12"/>
        <v>0</v>
      </c>
      <c r="M82" s="3">
        <v>0</v>
      </c>
      <c r="N82" s="3">
        <v>4.5999999999999996</v>
      </c>
      <c r="O82" s="3">
        <f t="shared" si="13"/>
        <v>4.5999999999999996</v>
      </c>
      <c r="P82" s="3">
        <f t="shared" si="14"/>
        <v>0</v>
      </c>
      <c r="Q82" s="3">
        <v>621369.57999999996</v>
      </c>
      <c r="R82" s="3">
        <v>85493.64</v>
      </c>
      <c r="S82" s="3">
        <f t="shared" si="15"/>
        <v>0</v>
      </c>
      <c r="T82" s="3">
        <f t="shared" si="16"/>
        <v>1</v>
      </c>
      <c r="U82" s="3">
        <f t="shared" si="17"/>
        <v>0</v>
      </c>
      <c r="V82" s="3">
        <f t="shared" si="18"/>
        <v>0</v>
      </c>
      <c r="W82" s="3">
        <f t="shared" si="19"/>
        <v>0</v>
      </c>
      <c r="X82" s="3">
        <f t="shared" si="20"/>
        <v>1</v>
      </c>
      <c r="Y82" s="3">
        <f t="shared" si="21"/>
        <v>0</v>
      </c>
    </row>
    <row r="83" spans="1:25" ht="14.45">
      <c r="A83" s="3" t="s">
        <v>76</v>
      </c>
      <c r="B83" s="4">
        <v>45689</v>
      </c>
      <c r="C83" s="3" t="s">
        <v>61</v>
      </c>
      <c r="D83" s="3" t="s">
        <v>62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f t="shared" si="11"/>
        <v>3.17</v>
      </c>
      <c r="L83" s="3">
        <f t="shared" si="12"/>
        <v>0</v>
      </c>
      <c r="M83" s="3">
        <v>0</v>
      </c>
      <c r="N83" s="3">
        <v>4.5999999999999996</v>
      </c>
      <c r="O83" s="3">
        <f t="shared" si="13"/>
        <v>4.5999999999999996</v>
      </c>
      <c r="P83" s="3">
        <f t="shared" si="14"/>
        <v>0</v>
      </c>
      <c r="Q83" s="3">
        <v>682208.01</v>
      </c>
      <c r="R83" s="3">
        <v>110318.84</v>
      </c>
      <c r="S83" s="3">
        <f t="shared" si="15"/>
        <v>0</v>
      </c>
      <c r="T83" s="3">
        <f t="shared" si="16"/>
        <v>1</v>
      </c>
      <c r="U83" s="3">
        <f t="shared" si="17"/>
        <v>0</v>
      </c>
      <c r="V83" s="3">
        <f t="shared" si="18"/>
        <v>0</v>
      </c>
      <c r="W83" s="3">
        <f t="shared" si="19"/>
        <v>0</v>
      </c>
      <c r="X83" s="3">
        <f t="shared" si="20"/>
        <v>1</v>
      </c>
      <c r="Y83" s="3">
        <f t="shared" si="21"/>
        <v>0</v>
      </c>
    </row>
    <row r="84" spans="1:25" ht="14.45">
      <c r="A84" s="3" t="s">
        <v>76</v>
      </c>
      <c r="B84" s="4">
        <v>45717</v>
      </c>
      <c r="C84" s="3" t="s">
        <v>61</v>
      </c>
      <c r="D84" s="3" t="s">
        <v>62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f t="shared" si="11"/>
        <v>2.66</v>
      </c>
      <c r="L84" s="3">
        <f t="shared" si="12"/>
        <v>0</v>
      </c>
      <c r="M84" s="3">
        <v>0</v>
      </c>
      <c r="N84" s="3">
        <v>4.5999999999999996</v>
      </c>
      <c r="O84" s="3">
        <f t="shared" si="13"/>
        <v>4.5999999999999996</v>
      </c>
      <c r="P84" s="3">
        <f t="shared" si="14"/>
        <v>0</v>
      </c>
      <c r="Q84" s="3">
        <v>727241.86</v>
      </c>
      <c r="R84" s="3">
        <v>155810.29999999999</v>
      </c>
      <c r="S84" s="3">
        <f t="shared" si="15"/>
        <v>0</v>
      </c>
      <c r="T84" s="3">
        <f t="shared" si="16"/>
        <v>1</v>
      </c>
      <c r="U84" s="3">
        <f t="shared" si="17"/>
        <v>0</v>
      </c>
      <c r="V84" s="3">
        <f t="shared" si="18"/>
        <v>0</v>
      </c>
      <c r="W84" s="3">
        <f t="shared" si="19"/>
        <v>0</v>
      </c>
      <c r="X84" s="3">
        <f t="shared" si="20"/>
        <v>1</v>
      </c>
      <c r="Y84" s="3">
        <f t="shared" si="21"/>
        <v>0</v>
      </c>
    </row>
    <row r="85" spans="1:25" ht="14.45">
      <c r="A85" s="3" t="s">
        <v>76</v>
      </c>
      <c r="B85" s="4">
        <v>45748</v>
      </c>
      <c r="C85" s="3" t="s">
        <v>61</v>
      </c>
      <c r="D85" s="3" t="s">
        <v>62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f t="shared" si="11"/>
        <v>1.41</v>
      </c>
      <c r="L85" s="3">
        <f t="shared" si="12"/>
        <v>0</v>
      </c>
      <c r="M85" s="3">
        <v>0</v>
      </c>
      <c r="N85" s="3">
        <v>4.2</v>
      </c>
      <c r="O85" s="3">
        <f t="shared" si="13"/>
        <v>4.2</v>
      </c>
      <c r="P85" s="3">
        <f t="shared" si="14"/>
        <v>0</v>
      </c>
      <c r="Q85" s="3">
        <v>569100.78</v>
      </c>
      <c r="R85" s="3">
        <v>104808.78</v>
      </c>
      <c r="S85" s="3">
        <f t="shared" si="15"/>
        <v>0</v>
      </c>
      <c r="T85" s="3">
        <f t="shared" si="16"/>
        <v>1</v>
      </c>
      <c r="U85" s="3">
        <f t="shared" si="17"/>
        <v>0</v>
      </c>
      <c r="V85" s="3">
        <f t="shared" si="18"/>
        <v>0</v>
      </c>
      <c r="W85" s="3">
        <f t="shared" si="19"/>
        <v>0</v>
      </c>
      <c r="X85" s="3">
        <f t="shared" si="20"/>
        <v>1</v>
      </c>
      <c r="Y85" s="3">
        <f t="shared" si="21"/>
        <v>0</v>
      </c>
    </row>
    <row r="86" spans="1:25" ht="14.45">
      <c r="A86" s="3" t="s">
        <v>77</v>
      </c>
      <c r="B86" s="4">
        <v>45658</v>
      </c>
      <c r="C86" s="3" t="s">
        <v>61</v>
      </c>
      <c r="D86" s="3" t="s">
        <v>52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f t="shared" si="11"/>
        <v>7.34</v>
      </c>
      <c r="L86" s="3">
        <f t="shared" si="12"/>
        <v>0</v>
      </c>
      <c r="M86" s="3">
        <v>0</v>
      </c>
      <c r="N86" s="3">
        <v>4.9000000000000004</v>
      </c>
      <c r="O86" s="3">
        <f t="shared" si="13"/>
        <v>4.9000000000000004</v>
      </c>
      <c r="P86" s="3">
        <f t="shared" si="14"/>
        <v>0</v>
      </c>
      <c r="Q86" s="3">
        <v>574436.29</v>
      </c>
      <c r="R86" s="3">
        <v>80271.990000000005</v>
      </c>
      <c r="S86" s="3">
        <f t="shared" si="15"/>
        <v>1</v>
      </c>
      <c r="T86" s="3">
        <f t="shared" si="16"/>
        <v>0</v>
      </c>
      <c r="U86" s="3">
        <f t="shared" si="17"/>
        <v>0</v>
      </c>
      <c r="V86" s="3">
        <f t="shared" si="18"/>
        <v>0</v>
      </c>
      <c r="W86" s="3">
        <f t="shared" si="19"/>
        <v>0</v>
      </c>
      <c r="X86" s="3">
        <f t="shared" si="20"/>
        <v>1</v>
      </c>
      <c r="Y86" s="3">
        <f t="shared" si="21"/>
        <v>0</v>
      </c>
    </row>
    <row r="87" spans="1:25" ht="14.45">
      <c r="A87" s="3" t="s">
        <v>77</v>
      </c>
      <c r="B87" s="4">
        <v>45689</v>
      </c>
      <c r="C87" s="3" t="s">
        <v>61</v>
      </c>
      <c r="D87" s="3" t="s">
        <v>52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f t="shared" si="11"/>
        <v>5.95</v>
      </c>
      <c r="L87" s="3">
        <f t="shared" si="12"/>
        <v>0</v>
      </c>
      <c r="M87" s="3">
        <v>0</v>
      </c>
      <c r="N87" s="3"/>
      <c r="O87" s="3">
        <f t="shared" si="13"/>
        <v>3.9</v>
      </c>
      <c r="P87" s="3">
        <f t="shared" si="14"/>
        <v>1</v>
      </c>
      <c r="Q87" s="3">
        <v>611766.72</v>
      </c>
      <c r="R87" s="3">
        <v>88275.61</v>
      </c>
      <c r="S87" s="3">
        <f t="shared" si="15"/>
        <v>1</v>
      </c>
      <c r="T87" s="3">
        <f t="shared" si="16"/>
        <v>0</v>
      </c>
      <c r="U87" s="3">
        <f t="shared" si="17"/>
        <v>0</v>
      </c>
      <c r="V87" s="3">
        <f t="shared" si="18"/>
        <v>0</v>
      </c>
      <c r="W87" s="3">
        <f t="shared" si="19"/>
        <v>0</v>
      </c>
      <c r="X87" s="3">
        <f t="shared" si="20"/>
        <v>1</v>
      </c>
      <c r="Y87" s="3">
        <f t="shared" si="21"/>
        <v>0</v>
      </c>
    </row>
    <row r="88" spans="1:25" ht="14.45">
      <c r="A88" s="3" t="s">
        <v>77</v>
      </c>
      <c r="B88" s="4">
        <v>45717</v>
      </c>
      <c r="C88" s="3" t="s">
        <v>61</v>
      </c>
      <c r="D88" s="3" t="s">
        <v>52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f t="shared" si="11"/>
        <v>15.51</v>
      </c>
      <c r="L88" s="3">
        <f t="shared" si="12"/>
        <v>0</v>
      </c>
      <c r="M88" s="3">
        <v>0</v>
      </c>
      <c r="N88" s="3">
        <v>4.3</v>
      </c>
      <c r="O88" s="3">
        <f t="shared" si="13"/>
        <v>4.3</v>
      </c>
      <c r="P88" s="3">
        <f t="shared" si="14"/>
        <v>0</v>
      </c>
      <c r="Q88" s="3">
        <v>614596.31999999995</v>
      </c>
      <c r="R88" s="3">
        <v>131199.41</v>
      </c>
      <c r="S88" s="3">
        <f t="shared" si="15"/>
        <v>1</v>
      </c>
      <c r="T88" s="3">
        <f t="shared" si="16"/>
        <v>0</v>
      </c>
      <c r="U88" s="3">
        <f t="shared" si="17"/>
        <v>0</v>
      </c>
      <c r="V88" s="3">
        <f t="shared" si="18"/>
        <v>0</v>
      </c>
      <c r="W88" s="3">
        <f t="shared" si="19"/>
        <v>0</v>
      </c>
      <c r="X88" s="3">
        <f t="shared" si="20"/>
        <v>1</v>
      </c>
      <c r="Y88" s="3">
        <f t="shared" si="21"/>
        <v>0</v>
      </c>
    </row>
    <row r="89" spans="1:25" ht="14.45">
      <c r="A89" s="3" t="s">
        <v>77</v>
      </c>
      <c r="B89" s="4">
        <v>45748</v>
      </c>
      <c r="C89" s="3" t="s">
        <v>61</v>
      </c>
      <c r="D89" s="3" t="s">
        <v>52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f t="shared" si="11"/>
        <v>4.3099999999999996</v>
      </c>
      <c r="L89" s="3">
        <f t="shared" si="12"/>
        <v>0</v>
      </c>
      <c r="M89" s="3">
        <v>0</v>
      </c>
      <c r="N89" s="3">
        <v>4.5999999999999996</v>
      </c>
      <c r="O89" s="3">
        <f t="shared" si="13"/>
        <v>4.5999999999999996</v>
      </c>
      <c r="P89" s="3">
        <f t="shared" si="14"/>
        <v>0</v>
      </c>
      <c r="Q89" s="3">
        <v>450711.92</v>
      </c>
      <c r="R89" s="3">
        <v>90043.76</v>
      </c>
      <c r="S89" s="3">
        <f t="shared" si="15"/>
        <v>1</v>
      </c>
      <c r="T89" s="3">
        <f t="shared" si="16"/>
        <v>0</v>
      </c>
      <c r="U89" s="3">
        <f t="shared" si="17"/>
        <v>0</v>
      </c>
      <c r="V89" s="3">
        <f t="shared" si="18"/>
        <v>0</v>
      </c>
      <c r="W89" s="3">
        <f t="shared" si="19"/>
        <v>0</v>
      </c>
      <c r="X89" s="3">
        <f t="shared" si="20"/>
        <v>1</v>
      </c>
      <c r="Y89" s="3">
        <f t="shared" si="21"/>
        <v>0</v>
      </c>
    </row>
    <row r="90" spans="1:25" ht="14.45">
      <c r="A90" s="3" t="s">
        <v>78</v>
      </c>
      <c r="B90" s="4">
        <v>45658</v>
      </c>
      <c r="C90" s="3" t="s">
        <v>58</v>
      </c>
      <c r="D90" s="3" t="s">
        <v>62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f t="shared" si="11"/>
        <v>6.61</v>
      </c>
      <c r="L90" s="3">
        <f t="shared" si="12"/>
        <v>0</v>
      </c>
      <c r="M90" s="3">
        <v>1</v>
      </c>
      <c r="N90" s="3">
        <v>4.0999999999999996</v>
      </c>
      <c r="O90" s="3">
        <f t="shared" si="13"/>
        <v>4.0999999999999996</v>
      </c>
      <c r="P90" s="3">
        <f t="shared" si="14"/>
        <v>0</v>
      </c>
      <c r="Q90" s="3">
        <v>711213.46</v>
      </c>
      <c r="R90" s="3">
        <v>105863.26</v>
      </c>
      <c r="S90" s="3">
        <f t="shared" si="15"/>
        <v>0</v>
      </c>
      <c r="T90" s="3">
        <f t="shared" si="16"/>
        <v>1</v>
      </c>
      <c r="U90" s="3">
        <f t="shared" si="17"/>
        <v>0</v>
      </c>
      <c r="V90" s="3">
        <f t="shared" si="18"/>
        <v>0</v>
      </c>
      <c r="W90" s="3">
        <f t="shared" si="19"/>
        <v>1</v>
      </c>
      <c r="X90" s="3">
        <f t="shared" si="20"/>
        <v>0</v>
      </c>
      <c r="Y90" s="3">
        <f t="shared" si="21"/>
        <v>0</v>
      </c>
    </row>
    <row r="91" spans="1:25" ht="14.45">
      <c r="A91" s="3" t="s">
        <v>78</v>
      </c>
      <c r="B91" s="4">
        <v>45689</v>
      </c>
      <c r="C91" s="3" t="s">
        <v>58</v>
      </c>
      <c r="D91" s="3" t="s">
        <v>62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f t="shared" si="11"/>
        <v>4.26</v>
      </c>
      <c r="L91" s="3">
        <f t="shared" si="12"/>
        <v>0</v>
      </c>
      <c r="M91" s="3">
        <v>0</v>
      </c>
      <c r="N91" s="3">
        <v>4.5</v>
      </c>
      <c r="O91" s="3">
        <f t="shared" si="13"/>
        <v>4.5</v>
      </c>
      <c r="P91" s="3">
        <f t="shared" si="14"/>
        <v>0</v>
      </c>
      <c r="Q91" s="3">
        <v>627171.9</v>
      </c>
      <c r="R91" s="3">
        <v>105772.75</v>
      </c>
      <c r="S91" s="3">
        <f t="shared" si="15"/>
        <v>0</v>
      </c>
      <c r="T91" s="3">
        <f t="shared" si="16"/>
        <v>1</v>
      </c>
      <c r="U91" s="3">
        <f t="shared" si="17"/>
        <v>0</v>
      </c>
      <c r="V91" s="3">
        <f t="shared" si="18"/>
        <v>0</v>
      </c>
      <c r="W91" s="3">
        <f t="shared" si="19"/>
        <v>1</v>
      </c>
      <c r="X91" s="3">
        <f t="shared" si="20"/>
        <v>0</v>
      </c>
      <c r="Y91" s="3">
        <f t="shared" si="21"/>
        <v>0</v>
      </c>
    </row>
    <row r="92" spans="1:25" ht="14.45">
      <c r="A92" s="3" t="s">
        <v>78</v>
      </c>
      <c r="B92" s="4">
        <v>45717</v>
      </c>
      <c r="C92" s="3" t="s">
        <v>58</v>
      </c>
      <c r="D92" s="3" t="s">
        <v>62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f t="shared" si="11"/>
        <v>5.75</v>
      </c>
      <c r="L92" s="3">
        <f t="shared" si="12"/>
        <v>0</v>
      </c>
      <c r="M92" s="3">
        <v>0</v>
      </c>
      <c r="N92" s="3">
        <v>4.7</v>
      </c>
      <c r="O92" s="3">
        <f t="shared" si="13"/>
        <v>4.7</v>
      </c>
      <c r="P92" s="3">
        <f t="shared" si="14"/>
        <v>0</v>
      </c>
      <c r="Q92" s="3">
        <v>739852.58</v>
      </c>
      <c r="R92" s="3">
        <v>129386.43</v>
      </c>
      <c r="S92" s="3">
        <f t="shared" si="15"/>
        <v>0</v>
      </c>
      <c r="T92" s="3">
        <f t="shared" si="16"/>
        <v>1</v>
      </c>
      <c r="U92" s="3">
        <f t="shared" si="17"/>
        <v>0</v>
      </c>
      <c r="V92" s="3">
        <f t="shared" si="18"/>
        <v>0</v>
      </c>
      <c r="W92" s="3">
        <f t="shared" si="19"/>
        <v>1</v>
      </c>
      <c r="X92" s="3">
        <f t="shared" si="20"/>
        <v>0</v>
      </c>
      <c r="Y92" s="3">
        <f t="shared" si="21"/>
        <v>0</v>
      </c>
    </row>
    <row r="93" spans="1:25" ht="14.45">
      <c r="A93" s="3" t="s">
        <v>78</v>
      </c>
      <c r="B93" s="4">
        <v>45748</v>
      </c>
      <c r="C93" s="3" t="s">
        <v>58</v>
      </c>
      <c r="D93" s="3" t="s">
        <v>62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f t="shared" si="11"/>
        <v>0.33</v>
      </c>
      <c r="L93" s="3">
        <f t="shared" si="12"/>
        <v>0</v>
      </c>
      <c r="M93" s="3">
        <v>0</v>
      </c>
      <c r="N93" s="3">
        <v>4.3</v>
      </c>
      <c r="O93" s="3">
        <f t="shared" si="13"/>
        <v>4.3</v>
      </c>
      <c r="P93" s="3">
        <f t="shared" si="14"/>
        <v>0</v>
      </c>
      <c r="Q93" s="3">
        <v>586307.22</v>
      </c>
      <c r="R93" s="3">
        <v>73927.850000000006</v>
      </c>
      <c r="S93" s="3">
        <f t="shared" si="15"/>
        <v>0</v>
      </c>
      <c r="T93" s="3">
        <f t="shared" si="16"/>
        <v>1</v>
      </c>
      <c r="U93" s="3">
        <f t="shared" si="17"/>
        <v>0</v>
      </c>
      <c r="V93" s="3">
        <f t="shared" si="18"/>
        <v>0</v>
      </c>
      <c r="W93" s="3">
        <f t="shared" si="19"/>
        <v>1</v>
      </c>
      <c r="X93" s="3">
        <f t="shared" si="20"/>
        <v>0</v>
      </c>
      <c r="Y93" s="3">
        <f t="shared" si="21"/>
        <v>0</v>
      </c>
    </row>
    <row r="94" spans="1:25" ht="14.45">
      <c r="A94" s="3" t="s">
        <v>79</v>
      </c>
      <c r="B94" s="4">
        <v>45658</v>
      </c>
      <c r="C94" s="3" t="s">
        <v>61</v>
      </c>
      <c r="D94" s="3" t="s">
        <v>50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f t="shared" si="11"/>
        <v>2.92</v>
      </c>
      <c r="L94" s="3">
        <f t="shared" si="12"/>
        <v>0</v>
      </c>
      <c r="M94" s="3">
        <v>0</v>
      </c>
      <c r="N94" s="3">
        <v>4.5999999999999996</v>
      </c>
      <c r="O94" s="3">
        <f t="shared" si="13"/>
        <v>4.5999999999999996</v>
      </c>
      <c r="P94" s="3">
        <f t="shared" si="14"/>
        <v>0</v>
      </c>
      <c r="Q94" s="3">
        <v>585937.48</v>
      </c>
      <c r="R94" s="3">
        <v>82624.2</v>
      </c>
      <c r="S94" s="3">
        <f t="shared" si="15"/>
        <v>0</v>
      </c>
      <c r="T94" s="3">
        <f t="shared" si="16"/>
        <v>0</v>
      </c>
      <c r="U94" s="3">
        <f t="shared" si="17"/>
        <v>1</v>
      </c>
      <c r="V94" s="3">
        <f t="shared" si="18"/>
        <v>0</v>
      </c>
      <c r="W94" s="3">
        <f t="shared" si="19"/>
        <v>0</v>
      </c>
      <c r="X94" s="3">
        <f t="shared" si="20"/>
        <v>1</v>
      </c>
      <c r="Y94" s="3">
        <f t="shared" si="21"/>
        <v>0</v>
      </c>
    </row>
    <row r="95" spans="1:25" ht="14.45">
      <c r="A95" s="3" t="s">
        <v>79</v>
      </c>
      <c r="B95" s="4">
        <v>45689</v>
      </c>
      <c r="C95" s="3" t="s">
        <v>61</v>
      </c>
      <c r="D95" s="3" t="s">
        <v>50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f t="shared" si="11"/>
        <v>1.64</v>
      </c>
      <c r="L95" s="3">
        <f t="shared" si="12"/>
        <v>0</v>
      </c>
      <c r="M95" s="3">
        <v>0</v>
      </c>
      <c r="N95" s="3">
        <v>4.5</v>
      </c>
      <c r="O95" s="3">
        <f t="shared" si="13"/>
        <v>4.5</v>
      </c>
      <c r="P95" s="3">
        <f t="shared" si="14"/>
        <v>0</v>
      </c>
      <c r="Q95" s="3">
        <v>753473.55</v>
      </c>
      <c r="R95" s="3">
        <v>151527.22</v>
      </c>
      <c r="S95" s="3">
        <f t="shared" si="15"/>
        <v>0</v>
      </c>
      <c r="T95" s="3">
        <f t="shared" si="16"/>
        <v>0</v>
      </c>
      <c r="U95" s="3">
        <f t="shared" si="17"/>
        <v>1</v>
      </c>
      <c r="V95" s="3">
        <f t="shared" si="18"/>
        <v>0</v>
      </c>
      <c r="W95" s="3">
        <f t="shared" si="19"/>
        <v>0</v>
      </c>
      <c r="X95" s="3">
        <f t="shared" si="20"/>
        <v>1</v>
      </c>
      <c r="Y95" s="3">
        <f t="shared" si="21"/>
        <v>0</v>
      </c>
    </row>
    <row r="96" spans="1:25" ht="14.45">
      <c r="A96" s="3" t="s">
        <v>79</v>
      </c>
      <c r="B96" s="4">
        <v>45717</v>
      </c>
      <c r="C96" s="3" t="s">
        <v>61</v>
      </c>
      <c r="D96" s="3" t="s">
        <v>50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f t="shared" si="11"/>
        <v>0.8</v>
      </c>
      <c r="L96" s="3">
        <f t="shared" si="12"/>
        <v>0</v>
      </c>
      <c r="M96" s="3">
        <v>0</v>
      </c>
      <c r="N96" s="3">
        <v>5</v>
      </c>
      <c r="O96" s="3">
        <f t="shared" si="13"/>
        <v>5</v>
      </c>
      <c r="P96" s="3">
        <f t="shared" si="14"/>
        <v>0</v>
      </c>
      <c r="Q96" s="3">
        <v>838250.32</v>
      </c>
      <c r="R96" s="3">
        <v>122939.34</v>
      </c>
      <c r="S96" s="3">
        <f t="shared" si="15"/>
        <v>0</v>
      </c>
      <c r="T96" s="3">
        <f t="shared" si="16"/>
        <v>0</v>
      </c>
      <c r="U96" s="3">
        <f t="shared" si="17"/>
        <v>1</v>
      </c>
      <c r="V96" s="3">
        <f t="shared" si="18"/>
        <v>0</v>
      </c>
      <c r="W96" s="3">
        <f t="shared" si="19"/>
        <v>0</v>
      </c>
      <c r="X96" s="3">
        <f t="shared" si="20"/>
        <v>1</v>
      </c>
      <c r="Y96" s="3">
        <f t="shared" si="21"/>
        <v>0</v>
      </c>
    </row>
    <row r="97" spans="1:25" ht="14.45">
      <c r="A97" s="3" t="s">
        <v>79</v>
      </c>
      <c r="B97" s="4">
        <v>45748</v>
      </c>
      <c r="C97" s="3" t="s">
        <v>61</v>
      </c>
      <c r="D97" s="3" t="s">
        <v>50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f t="shared" si="11"/>
        <v>5.79</v>
      </c>
      <c r="L97" s="3">
        <f t="shared" si="12"/>
        <v>0</v>
      </c>
      <c r="M97" s="3">
        <v>0</v>
      </c>
      <c r="N97" s="3">
        <v>4.5</v>
      </c>
      <c r="O97" s="3">
        <f t="shared" si="13"/>
        <v>4.5</v>
      </c>
      <c r="P97" s="3">
        <f t="shared" si="14"/>
        <v>0</v>
      </c>
      <c r="Q97" s="3">
        <v>607898.12</v>
      </c>
      <c r="R97" s="3">
        <v>135404.85</v>
      </c>
      <c r="S97" s="3">
        <f t="shared" si="15"/>
        <v>0</v>
      </c>
      <c r="T97" s="3">
        <f t="shared" si="16"/>
        <v>0</v>
      </c>
      <c r="U97" s="3">
        <f t="shared" si="17"/>
        <v>1</v>
      </c>
      <c r="V97" s="3">
        <f t="shared" si="18"/>
        <v>0</v>
      </c>
      <c r="W97" s="3">
        <f t="shared" si="19"/>
        <v>0</v>
      </c>
      <c r="X97" s="3">
        <f t="shared" si="20"/>
        <v>1</v>
      </c>
      <c r="Y97" s="3">
        <f t="shared" si="21"/>
        <v>0</v>
      </c>
    </row>
    <row r="98" spans="1:25" ht="14.45">
      <c r="A98" s="3" t="s">
        <v>80</v>
      </c>
      <c r="B98" s="4">
        <v>45658</v>
      </c>
      <c r="C98" s="3" t="s">
        <v>61</v>
      </c>
      <c r="D98" s="3" t="s">
        <v>62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f t="shared" si="11"/>
        <v>19.600000000000001</v>
      </c>
      <c r="L98" s="3">
        <f t="shared" si="12"/>
        <v>0</v>
      </c>
      <c r="M98" s="3">
        <v>0</v>
      </c>
      <c r="N98" s="3">
        <v>4.4000000000000004</v>
      </c>
      <c r="O98" s="3">
        <f t="shared" si="13"/>
        <v>4.4000000000000004</v>
      </c>
      <c r="P98" s="3">
        <f t="shared" si="14"/>
        <v>0</v>
      </c>
      <c r="Q98" s="3">
        <v>691113.62</v>
      </c>
      <c r="R98" s="3">
        <v>135145.44</v>
      </c>
      <c r="S98" s="3">
        <f t="shared" si="15"/>
        <v>0</v>
      </c>
      <c r="T98" s="3">
        <f t="shared" si="16"/>
        <v>1</v>
      </c>
      <c r="U98" s="3">
        <f t="shared" si="17"/>
        <v>0</v>
      </c>
      <c r="V98" s="3">
        <f t="shared" si="18"/>
        <v>0</v>
      </c>
      <c r="W98" s="3">
        <f t="shared" si="19"/>
        <v>0</v>
      </c>
      <c r="X98" s="3">
        <f t="shared" si="20"/>
        <v>1</v>
      </c>
      <c r="Y98" s="3">
        <f t="shared" si="21"/>
        <v>0</v>
      </c>
    </row>
    <row r="99" spans="1:25" ht="14.45">
      <c r="A99" s="3" t="s">
        <v>80</v>
      </c>
      <c r="B99" s="4">
        <v>45689</v>
      </c>
      <c r="C99" s="3" t="s">
        <v>61</v>
      </c>
      <c r="D99" s="3" t="s">
        <v>62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f t="shared" si="11"/>
        <v>7.57</v>
      </c>
      <c r="L99" s="3">
        <f t="shared" si="12"/>
        <v>0</v>
      </c>
      <c r="M99" s="3">
        <v>0</v>
      </c>
      <c r="N99" s="3">
        <v>4.3</v>
      </c>
      <c r="O99" s="3">
        <f t="shared" si="13"/>
        <v>4.3</v>
      </c>
      <c r="P99" s="3">
        <f t="shared" si="14"/>
        <v>0</v>
      </c>
      <c r="Q99" s="3">
        <v>735509.4</v>
      </c>
      <c r="R99" s="3">
        <v>83895.96</v>
      </c>
      <c r="S99" s="3">
        <f t="shared" si="15"/>
        <v>0</v>
      </c>
      <c r="T99" s="3">
        <f t="shared" si="16"/>
        <v>1</v>
      </c>
      <c r="U99" s="3">
        <f t="shared" si="17"/>
        <v>0</v>
      </c>
      <c r="V99" s="3">
        <f t="shared" si="18"/>
        <v>0</v>
      </c>
      <c r="W99" s="3">
        <f t="shared" si="19"/>
        <v>0</v>
      </c>
      <c r="X99" s="3">
        <f t="shared" si="20"/>
        <v>1</v>
      </c>
      <c r="Y99" s="3">
        <f t="shared" si="21"/>
        <v>0</v>
      </c>
    </row>
    <row r="100" spans="1:25" ht="14.45">
      <c r="A100" s="3" t="s">
        <v>80</v>
      </c>
      <c r="B100" s="4">
        <v>45717</v>
      </c>
      <c r="C100" s="3" t="s">
        <v>61</v>
      </c>
      <c r="D100" s="3" t="s">
        <v>62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f t="shared" si="11"/>
        <v>3.3650000000000002</v>
      </c>
      <c r="L100" s="3">
        <f t="shared" si="12"/>
        <v>1</v>
      </c>
      <c r="M100" s="3">
        <v>0</v>
      </c>
      <c r="N100" s="3">
        <v>4.3</v>
      </c>
      <c r="O100" s="3">
        <f t="shared" si="13"/>
        <v>4.3</v>
      </c>
      <c r="P100" s="3">
        <f t="shared" si="14"/>
        <v>0</v>
      </c>
      <c r="Q100" s="3">
        <v>605775.32999999996</v>
      </c>
      <c r="R100" s="3">
        <v>107194.6</v>
      </c>
      <c r="S100" s="3">
        <f t="shared" si="15"/>
        <v>0</v>
      </c>
      <c r="T100" s="3">
        <f t="shared" si="16"/>
        <v>1</v>
      </c>
      <c r="U100" s="3">
        <f t="shared" si="17"/>
        <v>0</v>
      </c>
      <c r="V100" s="3">
        <f t="shared" si="18"/>
        <v>0</v>
      </c>
      <c r="W100" s="3">
        <f t="shared" si="19"/>
        <v>0</v>
      </c>
      <c r="X100" s="3">
        <f t="shared" si="20"/>
        <v>1</v>
      </c>
      <c r="Y100" s="3">
        <f t="shared" si="21"/>
        <v>0</v>
      </c>
    </row>
    <row r="101" spans="1:25" ht="14.45">
      <c r="A101" s="3" t="s">
        <v>80</v>
      </c>
      <c r="B101" s="4">
        <v>45748</v>
      </c>
      <c r="C101" s="3" t="s">
        <v>61</v>
      </c>
      <c r="D101" s="3" t="s">
        <v>62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f t="shared" si="11"/>
        <v>2.7</v>
      </c>
      <c r="L101" s="3">
        <f t="shared" si="12"/>
        <v>0</v>
      </c>
      <c r="M101" s="3">
        <v>0</v>
      </c>
      <c r="N101" s="3">
        <v>4.4000000000000004</v>
      </c>
      <c r="O101" s="3">
        <f t="shared" si="13"/>
        <v>4.4000000000000004</v>
      </c>
      <c r="P101" s="3">
        <f t="shared" si="14"/>
        <v>0</v>
      </c>
      <c r="Q101" s="3">
        <v>675177.68</v>
      </c>
      <c r="R101" s="3">
        <v>105628.68</v>
      </c>
      <c r="S101" s="3">
        <f t="shared" si="15"/>
        <v>0</v>
      </c>
      <c r="T101" s="3">
        <f t="shared" si="16"/>
        <v>1</v>
      </c>
      <c r="U101" s="3">
        <f t="shared" si="17"/>
        <v>0</v>
      </c>
      <c r="V101" s="3">
        <f t="shared" si="18"/>
        <v>0</v>
      </c>
      <c r="W101" s="3">
        <f t="shared" si="19"/>
        <v>0</v>
      </c>
      <c r="X101" s="3">
        <f t="shared" si="20"/>
        <v>1</v>
      </c>
      <c r="Y101" s="3">
        <f t="shared" si="21"/>
        <v>0</v>
      </c>
    </row>
    <row r="102" spans="1:25" ht="14.45">
      <c r="A102" s="3" t="s">
        <v>81</v>
      </c>
      <c r="B102" s="4">
        <v>45658</v>
      </c>
      <c r="C102" s="3" t="s">
        <v>49</v>
      </c>
      <c r="D102" s="3" t="s">
        <v>62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f t="shared" si="11"/>
        <v>0.2</v>
      </c>
      <c r="L102" s="3">
        <f t="shared" si="12"/>
        <v>0</v>
      </c>
      <c r="M102" s="3">
        <v>0</v>
      </c>
      <c r="N102" s="3">
        <v>4.4000000000000004</v>
      </c>
      <c r="O102" s="3">
        <f t="shared" si="13"/>
        <v>4.4000000000000004</v>
      </c>
      <c r="P102" s="3">
        <f t="shared" si="14"/>
        <v>0</v>
      </c>
      <c r="Q102" s="3">
        <v>635181.35</v>
      </c>
      <c r="R102" s="3">
        <v>83341.25</v>
      </c>
      <c r="S102" s="3">
        <f t="shared" si="15"/>
        <v>0</v>
      </c>
      <c r="T102" s="3">
        <f t="shared" si="16"/>
        <v>1</v>
      </c>
      <c r="U102" s="3">
        <f t="shared" si="17"/>
        <v>0</v>
      </c>
      <c r="V102" s="3">
        <f t="shared" si="18"/>
        <v>0</v>
      </c>
      <c r="W102" s="3">
        <f t="shared" si="19"/>
        <v>0</v>
      </c>
      <c r="X102" s="3">
        <f t="shared" si="20"/>
        <v>0</v>
      </c>
      <c r="Y102" s="3">
        <f t="shared" si="21"/>
        <v>1</v>
      </c>
    </row>
    <row r="103" spans="1:25" ht="14.45">
      <c r="A103" s="3" t="s">
        <v>81</v>
      </c>
      <c r="B103" s="4">
        <v>45689</v>
      </c>
      <c r="C103" s="3" t="s">
        <v>49</v>
      </c>
      <c r="D103" s="3" t="s">
        <v>62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f t="shared" si="11"/>
        <v>7.87</v>
      </c>
      <c r="L103" s="3">
        <f t="shared" si="12"/>
        <v>0</v>
      </c>
      <c r="M103" s="3">
        <v>0</v>
      </c>
      <c r="N103" s="3">
        <v>4.7</v>
      </c>
      <c r="O103" s="3">
        <f t="shared" si="13"/>
        <v>4.7</v>
      </c>
      <c r="P103" s="3">
        <f t="shared" si="14"/>
        <v>0</v>
      </c>
      <c r="Q103" s="3">
        <v>586626.93999999994</v>
      </c>
      <c r="R103" s="3">
        <v>86498.55</v>
      </c>
      <c r="S103" s="3">
        <f t="shared" si="15"/>
        <v>0</v>
      </c>
      <c r="T103" s="3">
        <f t="shared" si="16"/>
        <v>1</v>
      </c>
      <c r="U103" s="3">
        <f t="shared" si="17"/>
        <v>0</v>
      </c>
      <c r="V103" s="3">
        <f t="shared" si="18"/>
        <v>0</v>
      </c>
      <c r="W103" s="3">
        <f t="shared" si="19"/>
        <v>0</v>
      </c>
      <c r="X103" s="3">
        <f t="shared" si="20"/>
        <v>0</v>
      </c>
      <c r="Y103" s="3">
        <f t="shared" si="21"/>
        <v>1</v>
      </c>
    </row>
    <row r="104" spans="1:25" ht="14.45">
      <c r="A104" s="3" t="s">
        <v>81</v>
      </c>
      <c r="B104" s="4">
        <v>45717</v>
      </c>
      <c r="C104" s="3" t="s">
        <v>49</v>
      </c>
      <c r="D104" s="3" t="s">
        <v>62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f t="shared" si="11"/>
        <v>0.77</v>
      </c>
      <c r="L104" s="3">
        <f t="shared" si="12"/>
        <v>0</v>
      </c>
      <c r="M104" s="3">
        <v>1</v>
      </c>
      <c r="N104" s="3">
        <v>4.4000000000000004</v>
      </c>
      <c r="O104" s="3">
        <f t="shared" si="13"/>
        <v>4.4000000000000004</v>
      </c>
      <c r="P104" s="3">
        <f t="shared" si="14"/>
        <v>0</v>
      </c>
      <c r="Q104" s="3">
        <v>740102.64</v>
      </c>
      <c r="R104" s="3">
        <v>114299.07</v>
      </c>
      <c r="S104" s="3">
        <f t="shared" si="15"/>
        <v>0</v>
      </c>
      <c r="T104" s="3">
        <f t="shared" si="16"/>
        <v>1</v>
      </c>
      <c r="U104" s="3">
        <f t="shared" si="17"/>
        <v>0</v>
      </c>
      <c r="V104" s="3">
        <f t="shared" si="18"/>
        <v>0</v>
      </c>
      <c r="W104" s="3">
        <f t="shared" si="19"/>
        <v>0</v>
      </c>
      <c r="X104" s="3">
        <f t="shared" si="20"/>
        <v>0</v>
      </c>
      <c r="Y104" s="3">
        <f t="shared" si="21"/>
        <v>1</v>
      </c>
    </row>
    <row r="105" spans="1:25" ht="14.45">
      <c r="A105" s="3" t="s">
        <v>81</v>
      </c>
      <c r="B105" s="4">
        <v>45748</v>
      </c>
      <c r="C105" s="3" t="s">
        <v>49</v>
      </c>
      <c r="D105" s="3" t="s">
        <v>62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f t="shared" si="11"/>
        <v>1.48</v>
      </c>
      <c r="L105" s="3">
        <f t="shared" si="12"/>
        <v>0</v>
      </c>
      <c r="M105" s="3">
        <v>0</v>
      </c>
      <c r="N105" s="3">
        <v>5</v>
      </c>
      <c r="O105" s="3">
        <f t="shared" si="13"/>
        <v>5</v>
      </c>
      <c r="P105" s="3">
        <f t="shared" si="14"/>
        <v>0</v>
      </c>
      <c r="Q105" s="3">
        <v>625514.04</v>
      </c>
      <c r="R105" s="3">
        <v>120685.08</v>
      </c>
      <c r="S105" s="3">
        <f t="shared" si="15"/>
        <v>0</v>
      </c>
      <c r="T105" s="3">
        <f t="shared" si="16"/>
        <v>1</v>
      </c>
      <c r="U105" s="3">
        <f t="shared" si="17"/>
        <v>0</v>
      </c>
      <c r="V105" s="3">
        <f t="shared" si="18"/>
        <v>0</v>
      </c>
      <c r="W105" s="3">
        <f t="shared" si="19"/>
        <v>0</v>
      </c>
      <c r="X105" s="3">
        <f t="shared" si="20"/>
        <v>0</v>
      </c>
      <c r="Y105" s="3">
        <f t="shared" si="21"/>
        <v>1</v>
      </c>
    </row>
    <row r="106" spans="1:25" ht="14.45">
      <c r="A106" s="3" t="s">
        <v>82</v>
      </c>
      <c r="B106" s="4">
        <v>45658</v>
      </c>
      <c r="C106" s="3" t="s">
        <v>61</v>
      </c>
      <c r="D106" s="3" t="s">
        <v>52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f t="shared" si="11"/>
        <v>2.87</v>
      </c>
      <c r="L106" s="3">
        <f t="shared" si="12"/>
        <v>0</v>
      </c>
      <c r="M106" s="3">
        <v>0</v>
      </c>
      <c r="N106" s="3">
        <v>2.9</v>
      </c>
      <c r="O106" s="3">
        <f t="shared" si="13"/>
        <v>2.9</v>
      </c>
      <c r="P106" s="3">
        <f t="shared" si="14"/>
        <v>0</v>
      </c>
      <c r="Q106" s="3">
        <v>727227.2</v>
      </c>
      <c r="R106" s="3">
        <v>121292.01</v>
      </c>
      <c r="S106" s="3">
        <f t="shared" si="15"/>
        <v>1</v>
      </c>
      <c r="T106" s="3">
        <f t="shared" si="16"/>
        <v>0</v>
      </c>
      <c r="U106" s="3">
        <f t="shared" si="17"/>
        <v>0</v>
      </c>
      <c r="V106" s="3">
        <f t="shared" si="18"/>
        <v>0</v>
      </c>
      <c r="W106" s="3">
        <f t="shared" si="19"/>
        <v>0</v>
      </c>
      <c r="X106" s="3">
        <f t="shared" si="20"/>
        <v>1</v>
      </c>
      <c r="Y106" s="3">
        <f t="shared" si="21"/>
        <v>0</v>
      </c>
    </row>
    <row r="107" spans="1:25" ht="14.45">
      <c r="A107" s="3" t="s">
        <v>82</v>
      </c>
      <c r="B107" s="4">
        <v>45689</v>
      </c>
      <c r="C107" s="3" t="s">
        <v>61</v>
      </c>
      <c r="D107" s="3" t="s">
        <v>52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f t="shared" si="11"/>
        <v>2.83</v>
      </c>
      <c r="L107" s="3">
        <f t="shared" si="12"/>
        <v>0</v>
      </c>
      <c r="M107" s="3">
        <v>0</v>
      </c>
      <c r="N107" s="3">
        <v>3</v>
      </c>
      <c r="O107" s="3">
        <f t="shared" si="13"/>
        <v>3</v>
      </c>
      <c r="P107" s="3">
        <f t="shared" si="14"/>
        <v>0</v>
      </c>
      <c r="Q107" s="3">
        <v>783797.89</v>
      </c>
      <c r="R107" s="3">
        <v>157620.70000000001</v>
      </c>
      <c r="S107" s="3">
        <f t="shared" si="15"/>
        <v>1</v>
      </c>
      <c r="T107" s="3">
        <f t="shared" si="16"/>
        <v>0</v>
      </c>
      <c r="U107" s="3">
        <f t="shared" si="17"/>
        <v>0</v>
      </c>
      <c r="V107" s="3">
        <f t="shared" si="18"/>
        <v>0</v>
      </c>
      <c r="W107" s="3">
        <f t="shared" si="19"/>
        <v>0</v>
      </c>
      <c r="X107" s="3">
        <f t="shared" si="20"/>
        <v>1</v>
      </c>
      <c r="Y107" s="3">
        <f t="shared" si="21"/>
        <v>0</v>
      </c>
    </row>
    <row r="108" spans="1:25" ht="14.45">
      <c r="A108" s="3" t="s">
        <v>82</v>
      </c>
      <c r="B108" s="4">
        <v>45717</v>
      </c>
      <c r="C108" s="3" t="s">
        <v>61</v>
      </c>
      <c r="D108" s="3" t="s">
        <v>52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f t="shared" si="11"/>
        <v>0.25</v>
      </c>
      <c r="L108" s="3">
        <f t="shared" si="12"/>
        <v>0</v>
      </c>
      <c r="M108" s="3">
        <v>0</v>
      </c>
      <c r="N108" s="3">
        <v>3</v>
      </c>
      <c r="O108" s="3">
        <f t="shared" si="13"/>
        <v>3</v>
      </c>
      <c r="P108" s="3">
        <f t="shared" si="14"/>
        <v>0</v>
      </c>
      <c r="Q108" s="3">
        <v>795153.84</v>
      </c>
      <c r="R108" s="3">
        <v>143194.21</v>
      </c>
      <c r="S108" s="3">
        <f t="shared" si="15"/>
        <v>1</v>
      </c>
      <c r="T108" s="3">
        <f t="shared" si="16"/>
        <v>0</v>
      </c>
      <c r="U108" s="3">
        <f t="shared" si="17"/>
        <v>0</v>
      </c>
      <c r="V108" s="3">
        <f t="shared" si="18"/>
        <v>0</v>
      </c>
      <c r="W108" s="3">
        <f t="shared" si="19"/>
        <v>0</v>
      </c>
      <c r="X108" s="3">
        <f t="shared" si="20"/>
        <v>1</v>
      </c>
      <c r="Y108" s="3">
        <f t="shared" si="21"/>
        <v>0</v>
      </c>
    </row>
    <row r="109" spans="1:25" ht="14.45">
      <c r="A109" s="3" t="s">
        <v>82</v>
      </c>
      <c r="B109" s="4">
        <v>45748</v>
      </c>
      <c r="C109" s="3" t="s">
        <v>61</v>
      </c>
      <c r="D109" s="3" t="s">
        <v>52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f t="shared" si="11"/>
        <v>13.33</v>
      </c>
      <c r="L109" s="3">
        <f t="shared" si="12"/>
        <v>0</v>
      </c>
      <c r="M109" s="3">
        <v>0</v>
      </c>
      <c r="N109" s="3">
        <v>3.2</v>
      </c>
      <c r="O109" s="3">
        <f t="shared" si="13"/>
        <v>3.2</v>
      </c>
      <c r="P109" s="3">
        <f t="shared" si="14"/>
        <v>0</v>
      </c>
      <c r="Q109" s="3">
        <v>665594.93999999994</v>
      </c>
      <c r="R109" s="3">
        <v>127597.34</v>
      </c>
      <c r="S109" s="3">
        <f t="shared" si="15"/>
        <v>1</v>
      </c>
      <c r="T109" s="3">
        <f t="shared" si="16"/>
        <v>0</v>
      </c>
      <c r="U109" s="3">
        <f t="shared" si="17"/>
        <v>0</v>
      </c>
      <c r="V109" s="3">
        <f t="shared" si="18"/>
        <v>0</v>
      </c>
      <c r="W109" s="3">
        <f t="shared" si="19"/>
        <v>0</v>
      </c>
      <c r="X109" s="3">
        <f t="shared" si="20"/>
        <v>1</v>
      </c>
      <c r="Y109" s="3">
        <f t="shared" si="21"/>
        <v>0</v>
      </c>
    </row>
    <row r="110" spans="1:25" ht="14.45">
      <c r="A110" s="3" t="s">
        <v>83</v>
      </c>
      <c r="B110" s="4">
        <v>45658</v>
      </c>
      <c r="C110" s="3" t="s">
        <v>49</v>
      </c>
      <c r="D110" s="3" t="s">
        <v>62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f t="shared" si="11"/>
        <v>6.35</v>
      </c>
      <c r="L110" s="3">
        <f t="shared" si="12"/>
        <v>0</v>
      </c>
      <c r="M110" s="3">
        <v>1</v>
      </c>
      <c r="N110" s="3">
        <v>3.8</v>
      </c>
      <c r="O110" s="3">
        <f t="shared" si="13"/>
        <v>3.8</v>
      </c>
      <c r="P110" s="3">
        <f t="shared" si="14"/>
        <v>0</v>
      </c>
      <c r="Q110" s="3">
        <v>709478.39</v>
      </c>
      <c r="R110" s="3">
        <v>71294.27</v>
      </c>
      <c r="S110" s="3">
        <f t="shared" si="15"/>
        <v>0</v>
      </c>
      <c r="T110" s="3">
        <f t="shared" si="16"/>
        <v>1</v>
      </c>
      <c r="U110" s="3">
        <f t="shared" si="17"/>
        <v>0</v>
      </c>
      <c r="V110" s="3">
        <f t="shared" si="18"/>
        <v>0</v>
      </c>
      <c r="W110" s="3">
        <f t="shared" si="19"/>
        <v>0</v>
      </c>
      <c r="X110" s="3">
        <f t="shared" si="20"/>
        <v>0</v>
      </c>
      <c r="Y110" s="3">
        <f t="shared" si="21"/>
        <v>1</v>
      </c>
    </row>
    <row r="111" spans="1:25" ht="14.45">
      <c r="A111" s="3" t="s">
        <v>83</v>
      </c>
      <c r="B111" s="4">
        <v>45689</v>
      </c>
      <c r="C111" s="3" t="s">
        <v>49</v>
      </c>
      <c r="D111" s="3" t="s">
        <v>62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f t="shared" si="11"/>
        <v>6.69</v>
      </c>
      <c r="L111" s="3">
        <f t="shared" si="12"/>
        <v>0</v>
      </c>
      <c r="M111" s="3">
        <v>0</v>
      </c>
      <c r="N111" s="3">
        <v>3.8</v>
      </c>
      <c r="O111" s="3">
        <f t="shared" si="13"/>
        <v>3.8</v>
      </c>
      <c r="P111" s="3">
        <f t="shared" si="14"/>
        <v>0</v>
      </c>
      <c r="Q111" s="3">
        <v>664162.49</v>
      </c>
      <c r="R111" s="3">
        <v>98291.06</v>
      </c>
      <c r="S111" s="3">
        <f t="shared" si="15"/>
        <v>0</v>
      </c>
      <c r="T111" s="3">
        <f t="shared" si="16"/>
        <v>1</v>
      </c>
      <c r="U111" s="3">
        <f t="shared" si="17"/>
        <v>0</v>
      </c>
      <c r="V111" s="3">
        <f t="shared" si="18"/>
        <v>0</v>
      </c>
      <c r="W111" s="3">
        <f t="shared" si="19"/>
        <v>0</v>
      </c>
      <c r="X111" s="3">
        <f t="shared" si="20"/>
        <v>0</v>
      </c>
      <c r="Y111" s="3">
        <f t="shared" si="21"/>
        <v>1</v>
      </c>
    </row>
    <row r="112" spans="1:25" ht="14.45">
      <c r="A112" s="3" t="s">
        <v>83</v>
      </c>
      <c r="B112" s="4">
        <v>45717</v>
      </c>
      <c r="C112" s="3" t="s">
        <v>49</v>
      </c>
      <c r="D112" s="3" t="s">
        <v>62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f t="shared" si="11"/>
        <v>1.28</v>
      </c>
      <c r="L112" s="3">
        <f t="shared" si="12"/>
        <v>0</v>
      </c>
      <c r="M112" s="3">
        <v>0</v>
      </c>
      <c r="N112" s="3">
        <v>4.2</v>
      </c>
      <c r="O112" s="3">
        <f t="shared" si="13"/>
        <v>4.2</v>
      </c>
      <c r="P112" s="3">
        <f t="shared" si="14"/>
        <v>0</v>
      </c>
      <c r="Q112" s="3">
        <v>633494.21</v>
      </c>
      <c r="R112" s="3">
        <v>105739.47</v>
      </c>
      <c r="S112" s="3">
        <f t="shared" si="15"/>
        <v>0</v>
      </c>
      <c r="T112" s="3">
        <f t="shared" si="16"/>
        <v>1</v>
      </c>
      <c r="U112" s="3">
        <f t="shared" si="17"/>
        <v>0</v>
      </c>
      <c r="V112" s="3">
        <f t="shared" si="18"/>
        <v>0</v>
      </c>
      <c r="W112" s="3">
        <f t="shared" si="19"/>
        <v>0</v>
      </c>
      <c r="X112" s="3">
        <f t="shared" si="20"/>
        <v>0</v>
      </c>
      <c r="Y112" s="3">
        <f t="shared" si="21"/>
        <v>1</v>
      </c>
    </row>
    <row r="113" spans="1:25" ht="14.45">
      <c r="A113" s="3" t="s">
        <v>83</v>
      </c>
      <c r="B113" s="4">
        <v>45748</v>
      </c>
      <c r="C113" s="3" t="s">
        <v>49</v>
      </c>
      <c r="D113" s="3" t="s">
        <v>62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f t="shared" si="11"/>
        <v>0.92</v>
      </c>
      <c r="L113" s="3">
        <f t="shared" si="12"/>
        <v>0</v>
      </c>
      <c r="M113" s="3">
        <v>0</v>
      </c>
      <c r="N113" s="3">
        <v>3.5</v>
      </c>
      <c r="O113" s="3">
        <f t="shared" si="13"/>
        <v>3.5</v>
      </c>
      <c r="P113" s="3">
        <f t="shared" si="14"/>
        <v>0</v>
      </c>
      <c r="Q113" s="3">
        <v>713611.16</v>
      </c>
      <c r="R113" s="3">
        <v>129717.18</v>
      </c>
      <c r="S113" s="3">
        <f t="shared" si="15"/>
        <v>0</v>
      </c>
      <c r="T113" s="3">
        <f t="shared" si="16"/>
        <v>1</v>
      </c>
      <c r="U113" s="3">
        <f t="shared" si="17"/>
        <v>0</v>
      </c>
      <c r="V113" s="3">
        <f t="shared" si="18"/>
        <v>0</v>
      </c>
      <c r="W113" s="3">
        <f t="shared" si="19"/>
        <v>0</v>
      </c>
      <c r="X113" s="3">
        <f t="shared" si="20"/>
        <v>0</v>
      </c>
      <c r="Y113" s="3">
        <f t="shared" si="21"/>
        <v>1</v>
      </c>
    </row>
    <row r="114" spans="1:25" ht="14.45">
      <c r="A114" s="3" t="s">
        <v>84</v>
      </c>
      <c r="B114" s="4">
        <v>45658</v>
      </c>
      <c r="C114" s="3" t="s">
        <v>61</v>
      </c>
      <c r="D114" s="3" t="s">
        <v>62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f t="shared" si="11"/>
        <v>1.05</v>
      </c>
      <c r="L114" s="3">
        <f t="shared" si="12"/>
        <v>0</v>
      </c>
      <c r="M114" s="3">
        <v>0</v>
      </c>
      <c r="N114" s="3">
        <v>3.1</v>
      </c>
      <c r="O114" s="3">
        <f t="shared" si="13"/>
        <v>3.1</v>
      </c>
      <c r="P114" s="3">
        <f t="shared" si="14"/>
        <v>0</v>
      </c>
      <c r="Q114" s="3">
        <v>778397.97</v>
      </c>
      <c r="R114" s="3">
        <v>120044.41</v>
      </c>
      <c r="S114" s="3">
        <f t="shared" si="15"/>
        <v>0</v>
      </c>
      <c r="T114" s="3">
        <f t="shared" si="16"/>
        <v>1</v>
      </c>
      <c r="U114" s="3">
        <f t="shared" si="17"/>
        <v>0</v>
      </c>
      <c r="V114" s="3">
        <f t="shared" si="18"/>
        <v>0</v>
      </c>
      <c r="W114" s="3">
        <f t="shared" si="19"/>
        <v>0</v>
      </c>
      <c r="X114" s="3">
        <f t="shared" si="20"/>
        <v>1</v>
      </c>
      <c r="Y114" s="3">
        <f t="shared" si="21"/>
        <v>0</v>
      </c>
    </row>
    <row r="115" spans="1:25" ht="14.45">
      <c r="A115" s="3" t="s">
        <v>84</v>
      </c>
      <c r="B115" s="4">
        <v>45689</v>
      </c>
      <c r="C115" s="3" t="s">
        <v>61</v>
      </c>
      <c r="D115" s="3" t="s">
        <v>62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f t="shared" si="11"/>
        <v>2.67</v>
      </c>
      <c r="L115" s="3">
        <f t="shared" si="12"/>
        <v>0</v>
      </c>
      <c r="M115" s="3">
        <v>0</v>
      </c>
      <c r="N115" s="3">
        <v>3.5</v>
      </c>
      <c r="O115" s="3">
        <f t="shared" si="13"/>
        <v>3.5</v>
      </c>
      <c r="P115" s="3">
        <f t="shared" si="14"/>
        <v>0</v>
      </c>
      <c r="Q115" s="3">
        <v>873380.02</v>
      </c>
      <c r="R115" s="3">
        <v>149734.76</v>
      </c>
      <c r="S115" s="3">
        <f t="shared" si="15"/>
        <v>0</v>
      </c>
      <c r="T115" s="3">
        <f t="shared" si="16"/>
        <v>1</v>
      </c>
      <c r="U115" s="3">
        <f t="shared" si="17"/>
        <v>0</v>
      </c>
      <c r="V115" s="3">
        <f t="shared" si="18"/>
        <v>0</v>
      </c>
      <c r="W115" s="3">
        <f t="shared" si="19"/>
        <v>0</v>
      </c>
      <c r="X115" s="3">
        <f t="shared" si="20"/>
        <v>1</v>
      </c>
      <c r="Y115" s="3">
        <f t="shared" si="21"/>
        <v>0</v>
      </c>
    </row>
    <row r="116" spans="1:25" ht="14.45">
      <c r="A116" s="3" t="s">
        <v>84</v>
      </c>
      <c r="B116" s="4">
        <v>45717</v>
      </c>
      <c r="C116" s="3" t="s">
        <v>61</v>
      </c>
      <c r="D116" s="3" t="s">
        <v>62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f t="shared" si="11"/>
        <v>5.91</v>
      </c>
      <c r="L116" s="3">
        <f t="shared" si="12"/>
        <v>0</v>
      </c>
      <c r="M116" s="3">
        <v>0</v>
      </c>
      <c r="N116" s="3">
        <v>2.8</v>
      </c>
      <c r="O116" s="3">
        <f t="shared" si="13"/>
        <v>2.8</v>
      </c>
      <c r="P116" s="3">
        <f t="shared" si="14"/>
        <v>0</v>
      </c>
      <c r="Q116" s="3">
        <v>697287.9</v>
      </c>
      <c r="R116" s="3">
        <v>128208.33</v>
      </c>
      <c r="S116" s="3">
        <f t="shared" si="15"/>
        <v>0</v>
      </c>
      <c r="T116" s="3">
        <f t="shared" si="16"/>
        <v>1</v>
      </c>
      <c r="U116" s="3">
        <f t="shared" si="17"/>
        <v>0</v>
      </c>
      <c r="V116" s="3">
        <f t="shared" si="18"/>
        <v>0</v>
      </c>
      <c r="W116" s="3">
        <f t="shared" si="19"/>
        <v>0</v>
      </c>
      <c r="X116" s="3">
        <f t="shared" si="20"/>
        <v>1</v>
      </c>
      <c r="Y116" s="3">
        <f t="shared" si="21"/>
        <v>0</v>
      </c>
    </row>
    <row r="117" spans="1:25" ht="14.45">
      <c r="A117" s="3" t="s">
        <v>84</v>
      </c>
      <c r="B117" s="4">
        <v>45748</v>
      </c>
      <c r="C117" s="3" t="s">
        <v>61</v>
      </c>
      <c r="D117" s="3" t="s">
        <v>62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f t="shared" si="11"/>
        <v>6.37</v>
      </c>
      <c r="L117" s="3">
        <f t="shared" si="12"/>
        <v>0</v>
      </c>
      <c r="M117" s="3">
        <v>0</v>
      </c>
      <c r="N117" s="3">
        <v>3.3</v>
      </c>
      <c r="O117" s="3">
        <f t="shared" si="13"/>
        <v>3.3</v>
      </c>
      <c r="P117" s="3">
        <f t="shared" si="14"/>
        <v>0</v>
      </c>
      <c r="Q117" s="3">
        <v>718074.79</v>
      </c>
      <c r="R117" s="3">
        <v>115819.87</v>
      </c>
      <c r="S117" s="3">
        <f t="shared" si="15"/>
        <v>0</v>
      </c>
      <c r="T117" s="3">
        <f t="shared" si="16"/>
        <v>1</v>
      </c>
      <c r="U117" s="3">
        <f t="shared" si="17"/>
        <v>0</v>
      </c>
      <c r="V117" s="3">
        <f t="shared" si="18"/>
        <v>0</v>
      </c>
      <c r="W117" s="3">
        <f t="shared" si="19"/>
        <v>0</v>
      </c>
      <c r="X117" s="3">
        <f t="shared" si="20"/>
        <v>1</v>
      </c>
      <c r="Y117" s="3">
        <f t="shared" si="21"/>
        <v>0</v>
      </c>
    </row>
    <row r="118" spans="1:25" ht="14.45">
      <c r="A118" s="3" t="s">
        <v>85</v>
      </c>
      <c r="B118" s="4">
        <v>45658</v>
      </c>
      <c r="C118" s="3" t="s">
        <v>61</v>
      </c>
      <c r="D118" s="3" t="s">
        <v>50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f t="shared" si="11"/>
        <v>2.4900000000000002</v>
      </c>
      <c r="L118" s="3">
        <f t="shared" si="12"/>
        <v>0</v>
      </c>
      <c r="M118" s="3">
        <v>1</v>
      </c>
      <c r="N118" s="3">
        <v>4.7</v>
      </c>
      <c r="O118" s="3">
        <f t="shared" si="13"/>
        <v>4.7</v>
      </c>
      <c r="P118" s="3">
        <f t="shared" si="14"/>
        <v>0</v>
      </c>
      <c r="Q118" s="3">
        <v>714942.43</v>
      </c>
      <c r="R118" s="3">
        <v>94697.71</v>
      </c>
      <c r="S118" s="3">
        <f t="shared" si="15"/>
        <v>0</v>
      </c>
      <c r="T118" s="3">
        <f t="shared" si="16"/>
        <v>0</v>
      </c>
      <c r="U118" s="3">
        <f t="shared" si="17"/>
        <v>1</v>
      </c>
      <c r="V118" s="3">
        <f t="shared" si="18"/>
        <v>0</v>
      </c>
      <c r="W118" s="3">
        <f t="shared" si="19"/>
        <v>0</v>
      </c>
      <c r="X118" s="3">
        <f t="shared" si="20"/>
        <v>1</v>
      </c>
      <c r="Y118" s="3">
        <f t="shared" si="21"/>
        <v>0</v>
      </c>
    </row>
    <row r="119" spans="1:25" ht="14.45">
      <c r="A119" s="3" t="s">
        <v>85</v>
      </c>
      <c r="B119" s="4">
        <v>45689</v>
      </c>
      <c r="C119" s="3" t="s">
        <v>61</v>
      </c>
      <c r="D119" s="3" t="s">
        <v>50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f t="shared" si="11"/>
        <v>1.56</v>
      </c>
      <c r="L119" s="3">
        <f t="shared" si="12"/>
        <v>0</v>
      </c>
      <c r="M119" s="3">
        <v>0</v>
      </c>
      <c r="N119" s="3">
        <v>4.7</v>
      </c>
      <c r="O119" s="3">
        <f t="shared" si="13"/>
        <v>4.7</v>
      </c>
      <c r="P119" s="3">
        <f t="shared" si="14"/>
        <v>0</v>
      </c>
      <c r="Q119" s="3">
        <v>820519.04</v>
      </c>
      <c r="R119" s="3">
        <v>99035.88</v>
      </c>
      <c r="S119" s="3">
        <f t="shared" si="15"/>
        <v>0</v>
      </c>
      <c r="T119" s="3">
        <f t="shared" si="16"/>
        <v>0</v>
      </c>
      <c r="U119" s="3">
        <f t="shared" si="17"/>
        <v>1</v>
      </c>
      <c r="V119" s="3">
        <f t="shared" si="18"/>
        <v>0</v>
      </c>
      <c r="W119" s="3">
        <f t="shared" si="19"/>
        <v>0</v>
      </c>
      <c r="X119" s="3">
        <f t="shared" si="20"/>
        <v>1</v>
      </c>
      <c r="Y119" s="3">
        <f t="shared" si="21"/>
        <v>0</v>
      </c>
    </row>
    <row r="120" spans="1:25" ht="14.45">
      <c r="A120" s="3" t="s">
        <v>85</v>
      </c>
      <c r="B120" s="4">
        <v>45717</v>
      </c>
      <c r="C120" s="3" t="s">
        <v>61</v>
      </c>
      <c r="D120" s="3" t="s">
        <v>50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f t="shared" si="11"/>
        <v>14.95</v>
      </c>
      <c r="L120" s="3">
        <f t="shared" si="12"/>
        <v>0</v>
      </c>
      <c r="M120" s="3">
        <v>0</v>
      </c>
      <c r="N120" s="3">
        <v>4.5999999999999996</v>
      </c>
      <c r="O120" s="3">
        <f t="shared" si="13"/>
        <v>4.5999999999999996</v>
      </c>
      <c r="P120" s="3">
        <f t="shared" si="14"/>
        <v>0</v>
      </c>
      <c r="Q120" s="3">
        <v>684217.32</v>
      </c>
      <c r="R120" s="3">
        <v>136217.19</v>
      </c>
      <c r="S120" s="3">
        <f t="shared" si="15"/>
        <v>0</v>
      </c>
      <c r="T120" s="3">
        <f t="shared" si="16"/>
        <v>0</v>
      </c>
      <c r="U120" s="3">
        <f t="shared" si="17"/>
        <v>1</v>
      </c>
      <c r="V120" s="3">
        <f t="shared" si="18"/>
        <v>0</v>
      </c>
      <c r="W120" s="3">
        <f t="shared" si="19"/>
        <v>0</v>
      </c>
      <c r="X120" s="3">
        <f t="shared" si="20"/>
        <v>1</v>
      </c>
      <c r="Y120" s="3">
        <f t="shared" si="21"/>
        <v>0</v>
      </c>
    </row>
    <row r="121" spans="1:25" ht="14.45">
      <c r="A121" s="3" t="s">
        <v>85</v>
      </c>
      <c r="B121" s="4">
        <v>45748</v>
      </c>
      <c r="C121" s="3" t="s">
        <v>61</v>
      </c>
      <c r="D121" s="3" t="s">
        <v>50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f t="shared" si="11"/>
        <v>7.85</v>
      </c>
      <c r="L121" s="3">
        <f t="shared" si="12"/>
        <v>0</v>
      </c>
      <c r="M121" s="3">
        <v>0</v>
      </c>
      <c r="N121" s="3">
        <v>4.7</v>
      </c>
      <c r="O121" s="3">
        <f t="shared" si="13"/>
        <v>4.7</v>
      </c>
      <c r="P121" s="3">
        <f t="shared" si="14"/>
        <v>0</v>
      </c>
      <c r="Q121" s="3">
        <v>735480.19</v>
      </c>
      <c r="R121" s="3">
        <v>88342.11</v>
      </c>
      <c r="S121" s="3">
        <f t="shared" si="15"/>
        <v>0</v>
      </c>
      <c r="T121" s="3">
        <f t="shared" si="16"/>
        <v>0</v>
      </c>
      <c r="U121" s="3">
        <f t="shared" si="17"/>
        <v>1</v>
      </c>
      <c r="V121" s="3">
        <f t="shared" si="18"/>
        <v>0</v>
      </c>
      <c r="W121" s="3">
        <f t="shared" si="19"/>
        <v>0</v>
      </c>
      <c r="X121" s="3">
        <f t="shared" si="20"/>
        <v>1</v>
      </c>
      <c r="Y121" s="3">
        <f t="shared" si="21"/>
        <v>0</v>
      </c>
    </row>
    <row r="122" spans="1:25" ht="14.45">
      <c r="A122" s="3" t="s">
        <v>86</v>
      </c>
      <c r="B122" s="4">
        <v>45658</v>
      </c>
      <c r="C122" s="3" t="s">
        <v>54</v>
      </c>
      <c r="D122" s="3" t="s">
        <v>52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f t="shared" si="11"/>
        <v>6.8</v>
      </c>
      <c r="L122" s="3">
        <f t="shared" si="12"/>
        <v>0</v>
      </c>
      <c r="M122" s="3">
        <v>0</v>
      </c>
      <c r="N122" s="3">
        <v>4.4000000000000004</v>
      </c>
      <c r="O122" s="3">
        <f t="shared" si="13"/>
        <v>4.4000000000000004</v>
      </c>
      <c r="P122" s="3">
        <f t="shared" si="14"/>
        <v>0</v>
      </c>
      <c r="Q122" s="3">
        <v>509484.81</v>
      </c>
      <c r="R122" s="3">
        <v>85742.36</v>
      </c>
      <c r="S122" s="3">
        <f t="shared" si="15"/>
        <v>1</v>
      </c>
      <c r="T122" s="3">
        <f t="shared" si="16"/>
        <v>0</v>
      </c>
      <c r="U122" s="3">
        <f t="shared" si="17"/>
        <v>0</v>
      </c>
      <c r="V122" s="3">
        <f t="shared" si="18"/>
        <v>1</v>
      </c>
      <c r="W122" s="3">
        <f t="shared" si="19"/>
        <v>0</v>
      </c>
      <c r="X122" s="3">
        <f t="shared" si="20"/>
        <v>0</v>
      </c>
      <c r="Y122" s="3">
        <f t="shared" si="21"/>
        <v>0</v>
      </c>
    </row>
    <row r="123" spans="1:25" ht="14.45">
      <c r="A123" s="3" t="s">
        <v>86</v>
      </c>
      <c r="B123" s="4">
        <v>45689</v>
      </c>
      <c r="C123" s="3" t="s">
        <v>54</v>
      </c>
      <c r="D123" s="3" t="s">
        <v>52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f t="shared" si="11"/>
        <v>2.2000000000000002</v>
      </c>
      <c r="L123" s="3">
        <f t="shared" si="12"/>
        <v>0</v>
      </c>
      <c r="M123" s="3">
        <v>0</v>
      </c>
      <c r="N123" s="3">
        <v>3.7</v>
      </c>
      <c r="O123" s="3">
        <f t="shared" si="13"/>
        <v>3.7</v>
      </c>
      <c r="P123" s="3">
        <f t="shared" si="14"/>
        <v>0</v>
      </c>
      <c r="Q123" s="3">
        <v>654317.09</v>
      </c>
      <c r="R123" s="3">
        <v>121446.89</v>
      </c>
      <c r="S123" s="3">
        <f t="shared" si="15"/>
        <v>1</v>
      </c>
      <c r="T123" s="3">
        <f t="shared" si="16"/>
        <v>0</v>
      </c>
      <c r="U123" s="3">
        <f t="shared" si="17"/>
        <v>0</v>
      </c>
      <c r="V123" s="3">
        <f t="shared" si="18"/>
        <v>1</v>
      </c>
      <c r="W123" s="3">
        <f t="shared" si="19"/>
        <v>0</v>
      </c>
      <c r="X123" s="3">
        <f t="shared" si="20"/>
        <v>0</v>
      </c>
      <c r="Y123" s="3">
        <f t="shared" si="21"/>
        <v>0</v>
      </c>
    </row>
    <row r="124" spans="1:25" ht="14.45">
      <c r="A124" s="3" t="s">
        <v>86</v>
      </c>
      <c r="B124" s="4">
        <v>45717</v>
      </c>
      <c r="C124" s="3" t="s">
        <v>54</v>
      </c>
      <c r="D124" s="3" t="s">
        <v>52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f t="shared" si="11"/>
        <v>1.88</v>
      </c>
      <c r="L124" s="3">
        <f t="shared" si="12"/>
        <v>0</v>
      </c>
      <c r="M124" s="3">
        <v>0</v>
      </c>
      <c r="N124" s="3">
        <v>3.9</v>
      </c>
      <c r="O124" s="3">
        <f t="shared" si="13"/>
        <v>3.9</v>
      </c>
      <c r="P124" s="3">
        <f t="shared" si="14"/>
        <v>0</v>
      </c>
      <c r="Q124" s="3">
        <v>557487.26</v>
      </c>
      <c r="R124" s="3">
        <v>76432.19</v>
      </c>
      <c r="S124" s="3">
        <f t="shared" si="15"/>
        <v>1</v>
      </c>
      <c r="T124" s="3">
        <f t="shared" si="16"/>
        <v>0</v>
      </c>
      <c r="U124" s="3">
        <f t="shared" si="17"/>
        <v>0</v>
      </c>
      <c r="V124" s="3">
        <f t="shared" si="18"/>
        <v>1</v>
      </c>
      <c r="W124" s="3">
        <f t="shared" si="19"/>
        <v>0</v>
      </c>
      <c r="X124" s="3">
        <f t="shared" si="20"/>
        <v>0</v>
      </c>
      <c r="Y124" s="3">
        <f t="shared" si="21"/>
        <v>0</v>
      </c>
    </row>
    <row r="125" spans="1:25" ht="14.45">
      <c r="A125" s="3" t="s">
        <v>86</v>
      </c>
      <c r="B125" s="4">
        <v>45748</v>
      </c>
      <c r="C125" s="3" t="s">
        <v>54</v>
      </c>
      <c r="D125" s="3" t="s">
        <v>52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f t="shared" si="11"/>
        <v>15.79</v>
      </c>
      <c r="L125" s="3">
        <f t="shared" si="12"/>
        <v>0</v>
      </c>
      <c r="M125" s="3">
        <v>0</v>
      </c>
      <c r="N125" s="3">
        <v>4.4000000000000004</v>
      </c>
      <c r="O125" s="3">
        <f t="shared" si="13"/>
        <v>4.4000000000000004</v>
      </c>
      <c r="P125" s="3">
        <f t="shared" si="14"/>
        <v>0</v>
      </c>
      <c r="Q125" s="3">
        <v>441275.42</v>
      </c>
      <c r="R125" s="3">
        <v>58234.87</v>
      </c>
      <c r="S125" s="3">
        <f t="shared" si="15"/>
        <v>1</v>
      </c>
      <c r="T125" s="3">
        <f t="shared" si="16"/>
        <v>0</v>
      </c>
      <c r="U125" s="3">
        <f t="shared" si="17"/>
        <v>0</v>
      </c>
      <c r="V125" s="3">
        <f t="shared" si="18"/>
        <v>1</v>
      </c>
      <c r="W125" s="3">
        <f t="shared" si="19"/>
        <v>0</v>
      </c>
      <c r="X125" s="3">
        <f t="shared" si="20"/>
        <v>0</v>
      </c>
      <c r="Y125" s="3">
        <f t="shared" si="21"/>
        <v>0</v>
      </c>
    </row>
    <row r="126" spans="1:25" ht="14.45">
      <c r="A126" s="3" t="s">
        <v>87</v>
      </c>
      <c r="B126" s="4">
        <v>45658</v>
      </c>
      <c r="C126" s="3" t="s">
        <v>58</v>
      </c>
      <c r="D126" s="3" t="s">
        <v>52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f t="shared" si="11"/>
        <v>2.34</v>
      </c>
      <c r="L126" s="3">
        <f t="shared" si="12"/>
        <v>0</v>
      </c>
      <c r="M126" s="3">
        <v>1</v>
      </c>
      <c r="N126" s="3">
        <v>4.8</v>
      </c>
      <c r="O126" s="3">
        <f t="shared" si="13"/>
        <v>4.8</v>
      </c>
      <c r="P126" s="3">
        <f t="shared" si="14"/>
        <v>0</v>
      </c>
      <c r="Q126" s="3">
        <v>914544.17</v>
      </c>
      <c r="R126" s="3">
        <v>79831.73</v>
      </c>
      <c r="S126" s="3">
        <f t="shared" si="15"/>
        <v>1</v>
      </c>
      <c r="T126" s="3">
        <f t="shared" si="16"/>
        <v>0</v>
      </c>
      <c r="U126" s="3">
        <f t="shared" si="17"/>
        <v>0</v>
      </c>
      <c r="V126" s="3">
        <f t="shared" si="18"/>
        <v>0</v>
      </c>
      <c r="W126" s="3">
        <f t="shared" si="19"/>
        <v>1</v>
      </c>
      <c r="X126" s="3">
        <f t="shared" si="20"/>
        <v>0</v>
      </c>
      <c r="Y126" s="3">
        <f t="shared" si="21"/>
        <v>0</v>
      </c>
    </row>
    <row r="127" spans="1:25" ht="14.45">
      <c r="A127" s="3" t="s">
        <v>87</v>
      </c>
      <c r="B127" s="4">
        <v>45689</v>
      </c>
      <c r="C127" s="3" t="s">
        <v>58</v>
      </c>
      <c r="D127" s="3" t="s">
        <v>52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f t="shared" si="11"/>
        <v>0.54</v>
      </c>
      <c r="L127" s="3">
        <f t="shared" si="12"/>
        <v>0</v>
      </c>
      <c r="M127" s="3">
        <v>0</v>
      </c>
      <c r="N127" s="3">
        <v>4.4000000000000004</v>
      </c>
      <c r="O127" s="3">
        <f t="shared" si="13"/>
        <v>4.4000000000000004</v>
      </c>
      <c r="P127" s="3">
        <f t="shared" si="14"/>
        <v>0</v>
      </c>
      <c r="Q127" s="3">
        <v>842439.67</v>
      </c>
      <c r="R127" s="3">
        <v>169983.63</v>
      </c>
      <c r="S127" s="3">
        <f t="shared" si="15"/>
        <v>1</v>
      </c>
      <c r="T127" s="3">
        <f t="shared" si="16"/>
        <v>0</v>
      </c>
      <c r="U127" s="3">
        <f t="shared" si="17"/>
        <v>0</v>
      </c>
      <c r="V127" s="3">
        <f t="shared" si="18"/>
        <v>0</v>
      </c>
      <c r="W127" s="3">
        <f t="shared" si="19"/>
        <v>1</v>
      </c>
      <c r="X127" s="3">
        <f t="shared" si="20"/>
        <v>0</v>
      </c>
      <c r="Y127" s="3">
        <f t="shared" si="21"/>
        <v>0</v>
      </c>
    </row>
    <row r="128" spans="1:25" ht="14.45">
      <c r="A128" s="3" t="s">
        <v>87</v>
      </c>
      <c r="B128" s="4">
        <v>45717</v>
      </c>
      <c r="C128" s="3" t="s">
        <v>58</v>
      </c>
      <c r="D128" s="3" t="s">
        <v>52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f t="shared" si="11"/>
        <v>5.37</v>
      </c>
      <c r="L128" s="3">
        <f t="shared" si="12"/>
        <v>0</v>
      </c>
      <c r="M128" s="3">
        <v>1</v>
      </c>
      <c r="N128" s="3">
        <v>4.9000000000000004</v>
      </c>
      <c r="O128" s="3">
        <f t="shared" si="13"/>
        <v>4.9000000000000004</v>
      </c>
      <c r="P128" s="3">
        <f t="shared" si="14"/>
        <v>0</v>
      </c>
      <c r="Q128" s="3">
        <v>842157.92</v>
      </c>
      <c r="R128" s="3">
        <v>107348.22</v>
      </c>
      <c r="S128" s="3">
        <f t="shared" si="15"/>
        <v>1</v>
      </c>
      <c r="T128" s="3">
        <f t="shared" si="16"/>
        <v>0</v>
      </c>
      <c r="U128" s="3">
        <f t="shared" si="17"/>
        <v>0</v>
      </c>
      <c r="V128" s="3">
        <f t="shared" si="18"/>
        <v>0</v>
      </c>
      <c r="W128" s="3">
        <f t="shared" si="19"/>
        <v>1</v>
      </c>
      <c r="X128" s="3">
        <f t="shared" si="20"/>
        <v>0</v>
      </c>
      <c r="Y128" s="3">
        <f t="shared" si="21"/>
        <v>0</v>
      </c>
    </row>
    <row r="129" spans="1:25" ht="14.45">
      <c r="A129" s="3" t="s">
        <v>87</v>
      </c>
      <c r="B129" s="4">
        <v>45748</v>
      </c>
      <c r="C129" s="3" t="s">
        <v>58</v>
      </c>
      <c r="D129" s="3" t="s">
        <v>52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f t="shared" si="11"/>
        <v>3.19</v>
      </c>
      <c r="L129" s="3">
        <f t="shared" si="12"/>
        <v>0</v>
      </c>
      <c r="M129" s="3">
        <v>0</v>
      </c>
      <c r="N129" s="3">
        <v>4.8</v>
      </c>
      <c r="O129" s="3">
        <f t="shared" si="13"/>
        <v>4.8</v>
      </c>
      <c r="P129" s="3">
        <f t="shared" si="14"/>
        <v>0</v>
      </c>
      <c r="Q129" s="3">
        <v>697155.3</v>
      </c>
      <c r="R129" s="3">
        <v>136408.54</v>
      </c>
      <c r="S129" s="3">
        <f t="shared" si="15"/>
        <v>1</v>
      </c>
      <c r="T129" s="3">
        <f t="shared" si="16"/>
        <v>0</v>
      </c>
      <c r="U129" s="3">
        <f t="shared" si="17"/>
        <v>0</v>
      </c>
      <c r="V129" s="3">
        <f t="shared" si="18"/>
        <v>0</v>
      </c>
      <c r="W129" s="3">
        <f t="shared" si="19"/>
        <v>1</v>
      </c>
      <c r="X129" s="3">
        <f t="shared" si="20"/>
        <v>0</v>
      </c>
      <c r="Y129" s="3">
        <f t="shared" si="21"/>
        <v>0</v>
      </c>
    </row>
    <row r="130" spans="1:25" ht="14.45">
      <c r="A130" s="3" t="s">
        <v>88</v>
      </c>
      <c r="B130" s="4">
        <v>45658</v>
      </c>
      <c r="C130" s="3" t="s">
        <v>49</v>
      </c>
      <c r="D130" s="3" t="s">
        <v>52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f t="shared" si="11"/>
        <v>1.1000000000000001</v>
      </c>
      <c r="L130" s="3">
        <f t="shared" si="12"/>
        <v>0</v>
      </c>
      <c r="M130" s="3">
        <v>1</v>
      </c>
      <c r="N130" s="3">
        <v>4.4000000000000004</v>
      </c>
      <c r="O130" s="3">
        <f t="shared" si="13"/>
        <v>4.4000000000000004</v>
      </c>
      <c r="P130" s="3">
        <f t="shared" si="14"/>
        <v>0</v>
      </c>
      <c r="Q130" s="3">
        <v>849018.3</v>
      </c>
      <c r="R130" s="3">
        <v>149035.13</v>
      </c>
      <c r="S130" s="3">
        <f t="shared" si="15"/>
        <v>1</v>
      </c>
      <c r="T130" s="3">
        <f t="shared" si="16"/>
        <v>0</v>
      </c>
      <c r="U130" s="3">
        <f t="shared" si="17"/>
        <v>0</v>
      </c>
      <c r="V130" s="3">
        <f t="shared" si="18"/>
        <v>0</v>
      </c>
      <c r="W130" s="3">
        <f t="shared" si="19"/>
        <v>0</v>
      </c>
      <c r="X130" s="3">
        <f t="shared" si="20"/>
        <v>0</v>
      </c>
      <c r="Y130" s="3">
        <f t="shared" si="21"/>
        <v>1</v>
      </c>
    </row>
    <row r="131" spans="1:25" ht="14.45">
      <c r="A131" s="3" t="s">
        <v>88</v>
      </c>
      <c r="B131" s="4">
        <v>45689</v>
      </c>
      <c r="C131" s="3" t="s">
        <v>49</v>
      </c>
      <c r="D131" s="3" t="s">
        <v>52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f t="shared" ref="K131:K194" si="22">IF(ISBLANK(J131),MEDIAN($J$2:$J$321),J131)</f>
        <v>0.21</v>
      </c>
      <c r="L131" s="3">
        <f t="shared" ref="L131:L194" si="23">IF(ISBLANK(J131),1,0)</f>
        <v>0</v>
      </c>
      <c r="M131" s="3">
        <v>0</v>
      </c>
      <c r="N131" s="3">
        <v>4</v>
      </c>
      <c r="O131" s="3">
        <f t="shared" ref="O131:O194" si="24">IF(ISBLANK(N131),MEDIAN($N$2:$N$321),N131)</f>
        <v>4</v>
      </c>
      <c r="P131" s="3">
        <f t="shared" ref="P131:P194" si="25">IF(ISBLANK(N131),1,0)</f>
        <v>0</v>
      </c>
      <c r="Q131" s="3">
        <v>801830.35</v>
      </c>
      <c r="R131" s="3">
        <v>114875.32</v>
      </c>
      <c r="S131" s="3">
        <f t="shared" ref="S131:S194" si="26">IF(D131="High Street",1,0)</f>
        <v>1</v>
      </c>
      <c r="T131" s="3">
        <f t="shared" ref="T131:T194" si="27">IF(D131="Mall",1,0)</f>
        <v>0</v>
      </c>
      <c r="U131" s="3">
        <f t="shared" ref="U131:U194" si="28">IF(D131="Residential",1,0)</f>
        <v>0</v>
      </c>
      <c r="V131" s="3">
        <f t="shared" ref="V131:V194" si="29">IF(C131="North",1,0)</f>
        <v>0</v>
      </c>
      <c r="W131" s="3">
        <f t="shared" ref="W131:W194" si="30">IF(C131="South",1,0)</f>
        <v>0</v>
      </c>
      <c r="X131" s="3">
        <f t="shared" ref="X131:X194" si="31">IF(C131="West",1,0)</f>
        <v>0</v>
      </c>
      <c r="Y131" s="3">
        <f t="shared" ref="Y131:Y194" si="32">IF(C131="East",1,0)</f>
        <v>1</v>
      </c>
    </row>
    <row r="132" spans="1:25" ht="14.45">
      <c r="A132" s="3" t="s">
        <v>88</v>
      </c>
      <c r="B132" s="4">
        <v>45717</v>
      </c>
      <c r="C132" s="3" t="s">
        <v>49</v>
      </c>
      <c r="D132" s="3" t="s">
        <v>52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f t="shared" si="22"/>
        <v>5.12</v>
      </c>
      <c r="L132" s="3">
        <f t="shared" si="23"/>
        <v>0</v>
      </c>
      <c r="M132" s="3">
        <v>1</v>
      </c>
      <c r="N132" s="3">
        <v>4.5</v>
      </c>
      <c r="O132" s="3">
        <f t="shared" si="24"/>
        <v>4.5</v>
      </c>
      <c r="P132" s="3">
        <f t="shared" si="25"/>
        <v>0</v>
      </c>
      <c r="Q132" s="3">
        <v>725235.28</v>
      </c>
      <c r="R132" s="3">
        <v>121632.24</v>
      </c>
      <c r="S132" s="3">
        <f t="shared" si="26"/>
        <v>1</v>
      </c>
      <c r="T132" s="3">
        <f t="shared" si="27"/>
        <v>0</v>
      </c>
      <c r="U132" s="3">
        <f t="shared" si="28"/>
        <v>0</v>
      </c>
      <c r="V132" s="3">
        <f t="shared" si="29"/>
        <v>0</v>
      </c>
      <c r="W132" s="3">
        <f t="shared" si="30"/>
        <v>0</v>
      </c>
      <c r="X132" s="3">
        <f t="shared" si="31"/>
        <v>0</v>
      </c>
      <c r="Y132" s="3">
        <f t="shared" si="32"/>
        <v>1</v>
      </c>
    </row>
    <row r="133" spans="1:25" ht="14.45">
      <c r="A133" s="3" t="s">
        <v>88</v>
      </c>
      <c r="B133" s="4">
        <v>45748</v>
      </c>
      <c r="C133" s="3" t="s">
        <v>49</v>
      </c>
      <c r="D133" s="3" t="s">
        <v>52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f t="shared" si="22"/>
        <v>9.77</v>
      </c>
      <c r="L133" s="3">
        <f t="shared" si="23"/>
        <v>0</v>
      </c>
      <c r="M133" s="3">
        <v>0</v>
      </c>
      <c r="N133" s="3">
        <v>4.5</v>
      </c>
      <c r="O133" s="3">
        <f t="shared" si="24"/>
        <v>4.5</v>
      </c>
      <c r="P133" s="3">
        <f t="shared" si="25"/>
        <v>0</v>
      </c>
      <c r="Q133" s="3">
        <v>811452.72</v>
      </c>
      <c r="R133" s="3">
        <v>131325.67000000001</v>
      </c>
      <c r="S133" s="3">
        <f t="shared" si="26"/>
        <v>1</v>
      </c>
      <c r="T133" s="3">
        <f t="shared" si="27"/>
        <v>0</v>
      </c>
      <c r="U133" s="3">
        <f t="shared" si="28"/>
        <v>0</v>
      </c>
      <c r="V133" s="3">
        <f t="shared" si="29"/>
        <v>0</v>
      </c>
      <c r="W133" s="3">
        <f t="shared" si="30"/>
        <v>0</v>
      </c>
      <c r="X133" s="3">
        <f t="shared" si="31"/>
        <v>0</v>
      </c>
      <c r="Y133" s="3">
        <f t="shared" si="32"/>
        <v>1</v>
      </c>
    </row>
    <row r="134" spans="1:25" ht="14.45">
      <c r="A134" s="3" t="s">
        <v>89</v>
      </c>
      <c r="B134" s="4">
        <v>45658</v>
      </c>
      <c r="C134" s="3" t="s">
        <v>54</v>
      </c>
      <c r="D134" s="3" t="s">
        <v>52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f t="shared" si="22"/>
        <v>3.77</v>
      </c>
      <c r="L134" s="3">
        <f t="shared" si="23"/>
        <v>0</v>
      </c>
      <c r="M134" s="3">
        <v>0</v>
      </c>
      <c r="N134" s="3">
        <v>4.4000000000000004</v>
      </c>
      <c r="O134" s="3">
        <f t="shared" si="24"/>
        <v>4.4000000000000004</v>
      </c>
      <c r="P134" s="3">
        <f t="shared" si="25"/>
        <v>0</v>
      </c>
      <c r="Q134" s="3">
        <v>527300.13</v>
      </c>
      <c r="R134" s="3">
        <v>84197.87</v>
      </c>
      <c r="S134" s="3">
        <f t="shared" si="26"/>
        <v>1</v>
      </c>
      <c r="T134" s="3">
        <f t="shared" si="27"/>
        <v>0</v>
      </c>
      <c r="U134" s="3">
        <f t="shared" si="28"/>
        <v>0</v>
      </c>
      <c r="V134" s="3">
        <f t="shared" si="29"/>
        <v>1</v>
      </c>
      <c r="W134" s="3">
        <f t="shared" si="30"/>
        <v>0</v>
      </c>
      <c r="X134" s="3">
        <f t="shared" si="31"/>
        <v>0</v>
      </c>
      <c r="Y134" s="3">
        <f t="shared" si="32"/>
        <v>0</v>
      </c>
    </row>
    <row r="135" spans="1:25" ht="14.45">
      <c r="A135" s="3" t="s">
        <v>89</v>
      </c>
      <c r="B135" s="4">
        <v>45689</v>
      </c>
      <c r="C135" s="3" t="s">
        <v>54</v>
      </c>
      <c r="D135" s="3" t="s">
        <v>52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f t="shared" si="22"/>
        <v>0.78</v>
      </c>
      <c r="L135" s="3">
        <f t="shared" si="23"/>
        <v>0</v>
      </c>
      <c r="M135" s="3">
        <v>0</v>
      </c>
      <c r="N135" s="3"/>
      <c r="O135" s="3">
        <f t="shared" si="24"/>
        <v>3.9</v>
      </c>
      <c r="P135" s="3">
        <f t="shared" si="25"/>
        <v>1</v>
      </c>
      <c r="Q135" s="3">
        <v>400831.65</v>
      </c>
      <c r="R135" s="3">
        <v>70979.31</v>
      </c>
      <c r="S135" s="3">
        <f t="shared" si="26"/>
        <v>1</v>
      </c>
      <c r="T135" s="3">
        <f t="shared" si="27"/>
        <v>0</v>
      </c>
      <c r="U135" s="3">
        <f t="shared" si="28"/>
        <v>0</v>
      </c>
      <c r="V135" s="3">
        <f t="shared" si="29"/>
        <v>1</v>
      </c>
      <c r="W135" s="3">
        <f t="shared" si="30"/>
        <v>0</v>
      </c>
      <c r="X135" s="3">
        <f t="shared" si="31"/>
        <v>0</v>
      </c>
      <c r="Y135" s="3">
        <f t="shared" si="32"/>
        <v>0</v>
      </c>
    </row>
    <row r="136" spans="1:25" ht="14.45">
      <c r="A136" s="3" t="s">
        <v>89</v>
      </c>
      <c r="B136" s="4">
        <v>45717</v>
      </c>
      <c r="C136" s="3" t="s">
        <v>54</v>
      </c>
      <c r="D136" s="3" t="s">
        <v>52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f t="shared" si="22"/>
        <v>5.17</v>
      </c>
      <c r="L136" s="3">
        <f t="shared" si="23"/>
        <v>0</v>
      </c>
      <c r="M136" s="3">
        <v>1</v>
      </c>
      <c r="N136" s="3">
        <v>4.4000000000000004</v>
      </c>
      <c r="O136" s="3">
        <f t="shared" si="24"/>
        <v>4.4000000000000004</v>
      </c>
      <c r="P136" s="3">
        <f t="shared" si="25"/>
        <v>0</v>
      </c>
      <c r="Q136" s="3">
        <v>593247.25</v>
      </c>
      <c r="R136" s="3">
        <v>81240.289999999994</v>
      </c>
      <c r="S136" s="3">
        <f t="shared" si="26"/>
        <v>1</v>
      </c>
      <c r="T136" s="3">
        <f t="shared" si="27"/>
        <v>0</v>
      </c>
      <c r="U136" s="3">
        <f t="shared" si="28"/>
        <v>0</v>
      </c>
      <c r="V136" s="3">
        <f t="shared" si="29"/>
        <v>1</v>
      </c>
      <c r="W136" s="3">
        <f t="shared" si="30"/>
        <v>0</v>
      </c>
      <c r="X136" s="3">
        <f t="shared" si="31"/>
        <v>0</v>
      </c>
      <c r="Y136" s="3">
        <f t="shared" si="32"/>
        <v>0</v>
      </c>
    </row>
    <row r="137" spans="1:25" ht="14.45">
      <c r="A137" s="3" t="s">
        <v>89</v>
      </c>
      <c r="B137" s="4">
        <v>45748</v>
      </c>
      <c r="C137" s="3" t="s">
        <v>54</v>
      </c>
      <c r="D137" s="3" t="s">
        <v>52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f t="shared" si="22"/>
        <v>3.2</v>
      </c>
      <c r="L137" s="3">
        <f t="shared" si="23"/>
        <v>0</v>
      </c>
      <c r="M137" s="3">
        <v>0</v>
      </c>
      <c r="N137" s="3">
        <v>4.5999999999999996</v>
      </c>
      <c r="O137" s="3">
        <f t="shared" si="24"/>
        <v>4.5999999999999996</v>
      </c>
      <c r="P137" s="3">
        <f t="shared" si="25"/>
        <v>0</v>
      </c>
      <c r="Q137" s="3">
        <v>529075.94999999995</v>
      </c>
      <c r="R137" s="3">
        <v>95978.83</v>
      </c>
      <c r="S137" s="3">
        <f t="shared" si="26"/>
        <v>1</v>
      </c>
      <c r="T137" s="3">
        <f t="shared" si="27"/>
        <v>0</v>
      </c>
      <c r="U137" s="3">
        <f t="shared" si="28"/>
        <v>0</v>
      </c>
      <c r="V137" s="3">
        <f t="shared" si="29"/>
        <v>1</v>
      </c>
      <c r="W137" s="3">
        <f t="shared" si="30"/>
        <v>0</v>
      </c>
      <c r="X137" s="3">
        <f t="shared" si="31"/>
        <v>0</v>
      </c>
      <c r="Y137" s="3">
        <f t="shared" si="32"/>
        <v>0</v>
      </c>
    </row>
    <row r="138" spans="1:25" ht="14.45">
      <c r="A138" s="3" t="s">
        <v>90</v>
      </c>
      <c r="B138" s="4">
        <v>45658</v>
      </c>
      <c r="C138" s="3" t="s">
        <v>58</v>
      </c>
      <c r="D138" s="3" t="s">
        <v>50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f t="shared" si="22"/>
        <v>3.4</v>
      </c>
      <c r="L138" s="3">
        <f t="shared" si="23"/>
        <v>0</v>
      </c>
      <c r="M138" s="3">
        <v>0</v>
      </c>
      <c r="N138" s="3"/>
      <c r="O138" s="3">
        <f t="shared" si="24"/>
        <v>3.9</v>
      </c>
      <c r="P138" s="3">
        <f t="shared" si="25"/>
        <v>1</v>
      </c>
      <c r="Q138" s="3">
        <v>633638.03</v>
      </c>
      <c r="R138" s="3">
        <v>99402.01</v>
      </c>
      <c r="S138" s="3">
        <f t="shared" si="26"/>
        <v>0</v>
      </c>
      <c r="T138" s="3">
        <f t="shared" si="27"/>
        <v>0</v>
      </c>
      <c r="U138" s="3">
        <f t="shared" si="28"/>
        <v>1</v>
      </c>
      <c r="V138" s="3">
        <f t="shared" si="29"/>
        <v>0</v>
      </c>
      <c r="W138" s="3">
        <f t="shared" si="30"/>
        <v>1</v>
      </c>
      <c r="X138" s="3">
        <f t="shared" si="31"/>
        <v>0</v>
      </c>
      <c r="Y138" s="3">
        <f t="shared" si="32"/>
        <v>0</v>
      </c>
    </row>
    <row r="139" spans="1:25" ht="14.45">
      <c r="A139" s="3" t="s">
        <v>90</v>
      </c>
      <c r="B139" s="4">
        <v>45689</v>
      </c>
      <c r="C139" s="3" t="s">
        <v>58</v>
      </c>
      <c r="D139" s="3" t="s">
        <v>50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f t="shared" si="22"/>
        <v>7.38</v>
      </c>
      <c r="L139" s="3">
        <f t="shared" si="23"/>
        <v>0</v>
      </c>
      <c r="M139" s="3">
        <v>0</v>
      </c>
      <c r="N139" s="3">
        <v>3.7</v>
      </c>
      <c r="O139" s="3">
        <f t="shared" si="24"/>
        <v>3.7</v>
      </c>
      <c r="P139" s="3">
        <f t="shared" si="25"/>
        <v>0</v>
      </c>
      <c r="Q139" s="3">
        <v>743348.84</v>
      </c>
      <c r="R139" s="3">
        <v>104186.09</v>
      </c>
      <c r="S139" s="3">
        <f t="shared" si="26"/>
        <v>0</v>
      </c>
      <c r="T139" s="3">
        <f t="shared" si="27"/>
        <v>0</v>
      </c>
      <c r="U139" s="3">
        <f t="shared" si="28"/>
        <v>1</v>
      </c>
      <c r="V139" s="3">
        <f t="shared" si="29"/>
        <v>0</v>
      </c>
      <c r="W139" s="3">
        <f t="shared" si="30"/>
        <v>1</v>
      </c>
      <c r="X139" s="3">
        <f t="shared" si="31"/>
        <v>0</v>
      </c>
      <c r="Y139" s="3">
        <f t="shared" si="32"/>
        <v>0</v>
      </c>
    </row>
    <row r="140" spans="1:25" ht="14.45">
      <c r="A140" s="3" t="s">
        <v>90</v>
      </c>
      <c r="B140" s="4">
        <v>45717</v>
      </c>
      <c r="C140" s="3" t="s">
        <v>58</v>
      </c>
      <c r="D140" s="3" t="s">
        <v>50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f t="shared" si="22"/>
        <v>0.85</v>
      </c>
      <c r="L140" s="3">
        <f t="shared" si="23"/>
        <v>0</v>
      </c>
      <c r="M140" s="3">
        <v>1</v>
      </c>
      <c r="N140" s="3">
        <v>3.3</v>
      </c>
      <c r="O140" s="3">
        <f t="shared" si="24"/>
        <v>3.3</v>
      </c>
      <c r="P140" s="3">
        <f t="shared" si="25"/>
        <v>0</v>
      </c>
      <c r="Q140" s="3">
        <v>758827.64</v>
      </c>
      <c r="R140" s="3">
        <v>161439.48000000001</v>
      </c>
      <c r="S140" s="3">
        <f t="shared" si="26"/>
        <v>0</v>
      </c>
      <c r="T140" s="3">
        <f t="shared" si="27"/>
        <v>0</v>
      </c>
      <c r="U140" s="3">
        <f t="shared" si="28"/>
        <v>1</v>
      </c>
      <c r="V140" s="3">
        <f t="shared" si="29"/>
        <v>0</v>
      </c>
      <c r="W140" s="3">
        <f t="shared" si="30"/>
        <v>1</v>
      </c>
      <c r="X140" s="3">
        <f t="shared" si="31"/>
        <v>0</v>
      </c>
      <c r="Y140" s="3">
        <f t="shared" si="32"/>
        <v>0</v>
      </c>
    </row>
    <row r="141" spans="1:25" ht="14.45">
      <c r="A141" s="3" t="s">
        <v>90</v>
      </c>
      <c r="B141" s="4">
        <v>45748</v>
      </c>
      <c r="C141" s="3" t="s">
        <v>58</v>
      </c>
      <c r="D141" s="3" t="s">
        <v>50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f t="shared" si="22"/>
        <v>2.89</v>
      </c>
      <c r="L141" s="3">
        <f t="shared" si="23"/>
        <v>0</v>
      </c>
      <c r="M141" s="3">
        <v>0</v>
      </c>
      <c r="N141" s="3">
        <v>3.6</v>
      </c>
      <c r="O141" s="3">
        <f t="shared" si="24"/>
        <v>3.6</v>
      </c>
      <c r="P141" s="3">
        <f t="shared" si="25"/>
        <v>0</v>
      </c>
      <c r="Q141" s="3">
        <v>646559.71</v>
      </c>
      <c r="R141" s="3">
        <v>97981.75</v>
      </c>
      <c r="S141" s="3">
        <f t="shared" si="26"/>
        <v>0</v>
      </c>
      <c r="T141" s="3">
        <f t="shared" si="27"/>
        <v>0</v>
      </c>
      <c r="U141" s="3">
        <f t="shared" si="28"/>
        <v>1</v>
      </c>
      <c r="V141" s="3">
        <f t="shared" si="29"/>
        <v>0</v>
      </c>
      <c r="W141" s="3">
        <f t="shared" si="30"/>
        <v>1</v>
      </c>
      <c r="X141" s="3">
        <f t="shared" si="31"/>
        <v>0</v>
      </c>
      <c r="Y141" s="3">
        <f t="shared" si="32"/>
        <v>0</v>
      </c>
    </row>
    <row r="142" spans="1:25" ht="14.45">
      <c r="A142" s="3" t="s">
        <v>91</v>
      </c>
      <c r="B142" s="4">
        <v>45658</v>
      </c>
      <c r="C142" s="3" t="s">
        <v>61</v>
      </c>
      <c r="D142" s="3" t="s">
        <v>52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f t="shared" si="22"/>
        <v>0.77</v>
      </c>
      <c r="L142" s="3">
        <f t="shared" si="23"/>
        <v>0</v>
      </c>
      <c r="M142" s="3">
        <v>0</v>
      </c>
      <c r="N142" s="3">
        <v>4.0999999999999996</v>
      </c>
      <c r="O142" s="3">
        <f t="shared" si="24"/>
        <v>4.0999999999999996</v>
      </c>
      <c r="P142" s="3">
        <f t="shared" si="25"/>
        <v>0</v>
      </c>
      <c r="Q142" s="3">
        <v>715890.53</v>
      </c>
      <c r="R142" s="3">
        <v>109032.15</v>
      </c>
      <c r="S142" s="3">
        <f t="shared" si="26"/>
        <v>1</v>
      </c>
      <c r="T142" s="3">
        <f t="shared" si="27"/>
        <v>0</v>
      </c>
      <c r="U142" s="3">
        <f t="shared" si="28"/>
        <v>0</v>
      </c>
      <c r="V142" s="3">
        <f t="shared" si="29"/>
        <v>0</v>
      </c>
      <c r="W142" s="3">
        <f t="shared" si="30"/>
        <v>0</v>
      </c>
      <c r="X142" s="3">
        <f t="shared" si="31"/>
        <v>1</v>
      </c>
      <c r="Y142" s="3">
        <f t="shared" si="32"/>
        <v>0</v>
      </c>
    </row>
    <row r="143" spans="1:25" ht="14.45">
      <c r="A143" s="3" t="s">
        <v>91</v>
      </c>
      <c r="B143" s="4">
        <v>45689</v>
      </c>
      <c r="C143" s="3" t="s">
        <v>61</v>
      </c>
      <c r="D143" s="3" t="s">
        <v>52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f t="shared" si="22"/>
        <v>2.92</v>
      </c>
      <c r="L143" s="3">
        <f t="shared" si="23"/>
        <v>0</v>
      </c>
      <c r="M143" s="3">
        <v>0</v>
      </c>
      <c r="N143" s="3">
        <v>4.2</v>
      </c>
      <c r="O143" s="3">
        <f t="shared" si="24"/>
        <v>4.2</v>
      </c>
      <c r="P143" s="3">
        <f t="shared" si="25"/>
        <v>0</v>
      </c>
      <c r="Q143" s="3">
        <v>715097.57</v>
      </c>
      <c r="R143" s="3">
        <v>151875.85999999999</v>
      </c>
      <c r="S143" s="3">
        <f t="shared" si="26"/>
        <v>1</v>
      </c>
      <c r="T143" s="3">
        <f t="shared" si="27"/>
        <v>0</v>
      </c>
      <c r="U143" s="3">
        <f t="shared" si="28"/>
        <v>0</v>
      </c>
      <c r="V143" s="3">
        <f t="shared" si="29"/>
        <v>0</v>
      </c>
      <c r="W143" s="3">
        <f t="shared" si="30"/>
        <v>0</v>
      </c>
      <c r="X143" s="3">
        <f t="shared" si="31"/>
        <v>1</v>
      </c>
      <c r="Y143" s="3">
        <f t="shared" si="32"/>
        <v>0</v>
      </c>
    </row>
    <row r="144" spans="1:25" ht="14.45">
      <c r="A144" s="3" t="s">
        <v>91</v>
      </c>
      <c r="B144" s="4">
        <v>45717</v>
      </c>
      <c r="C144" s="3" t="s">
        <v>61</v>
      </c>
      <c r="D144" s="3" t="s">
        <v>52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f t="shared" si="22"/>
        <v>3.07</v>
      </c>
      <c r="L144" s="3">
        <f t="shared" si="23"/>
        <v>0</v>
      </c>
      <c r="M144" s="3">
        <v>0</v>
      </c>
      <c r="N144" s="3">
        <v>3.8</v>
      </c>
      <c r="O144" s="3">
        <f t="shared" si="24"/>
        <v>3.8</v>
      </c>
      <c r="P144" s="3">
        <f t="shared" si="25"/>
        <v>0</v>
      </c>
      <c r="Q144" s="3">
        <v>682639.28</v>
      </c>
      <c r="R144" s="3">
        <v>77557.53</v>
      </c>
      <c r="S144" s="3">
        <f t="shared" si="26"/>
        <v>1</v>
      </c>
      <c r="T144" s="3">
        <f t="shared" si="27"/>
        <v>0</v>
      </c>
      <c r="U144" s="3">
        <f t="shared" si="28"/>
        <v>0</v>
      </c>
      <c r="V144" s="3">
        <f t="shared" si="29"/>
        <v>0</v>
      </c>
      <c r="W144" s="3">
        <f t="shared" si="30"/>
        <v>0</v>
      </c>
      <c r="X144" s="3">
        <f t="shared" si="31"/>
        <v>1</v>
      </c>
      <c r="Y144" s="3">
        <f t="shared" si="32"/>
        <v>0</v>
      </c>
    </row>
    <row r="145" spans="1:25" ht="14.45">
      <c r="A145" s="3" t="s">
        <v>91</v>
      </c>
      <c r="B145" s="4">
        <v>45748</v>
      </c>
      <c r="C145" s="3" t="s">
        <v>61</v>
      </c>
      <c r="D145" s="3" t="s">
        <v>52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f t="shared" si="22"/>
        <v>9.6999999999999993</v>
      </c>
      <c r="L145" s="3">
        <f t="shared" si="23"/>
        <v>0</v>
      </c>
      <c r="M145" s="3">
        <v>0</v>
      </c>
      <c r="N145" s="3">
        <v>3.9</v>
      </c>
      <c r="O145" s="3">
        <f t="shared" si="24"/>
        <v>3.9</v>
      </c>
      <c r="P145" s="3">
        <f t="shared" si="25"/>
        <v>0</v>
      </c>
      <c r="Q145" s="3">
        <v>695098.51</v>
      </c>
      <c r="R145" s="3">
        <v>108192.75</v>
      </c>
      <c r="S145" s="3">
        <f t="shared" si="26"/>
        <v>1</v>
      </c>
      <c r="T145" s="3">
        <f t="shared" si="27"/>
        <v>0</v>
      </c>
      <c r="U145" s="3">
        <f t="shared" si="28"/>
        <v>0</v>
      </c>
      <c r="V145" s="3">
        <f t="shared" si="29"/>
        <v>0</v>
      </c>
      <c r="W145" s="3">
        <f t="shared" si="30"/>
        <v>0</v>
      </c>
      <c r="X145" s="3">
        <f t="shared" si="31"/>
        <v>1</v>
      </c>
      <c r="Y145" s="3">
        <f t="shared" si="32"/>
        <v>0</v>
      </c>
    </row>
    <row r="146" spans="1:25" ht="14.45">
      <c r="A146" s="3" t="s">
        <v>92</v>
      </c>
      <c r="B146" s="4">
        <v>45658</v>
      </c>
      <c r="C146" s="3" t="s">
        <v>54</v>
      </c>
      <c r="D146" s="3" t="s">
        <v>50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f t="shared" si="22"/>
        <v>3.71</v>
      </c>
      <c r="L146" s="3">
        <f t="shared" si="23"/>
        <v>0</v>
      </c>
      <c r="M146" s="3">
        <v>0</v>
      </c>
      <c r="N146" s="3">
        <v>3.2</v>
      </c>
      <c r="O146" s="3">
        <f t="shared" si="24"/>
        <v>3.2</v>
      </c>
      <c r="P146" s="3">
        <f t="shared" si="25"/>
        <v>0</v>
      </c>
      <c r="Q146" s="3">
        <v>577732.56999999995</v>
      </c>
      <c r="R146" s="3">
        <v>93804.27</v>
      </c>
      <c r="S146" s="3">
        <f t="shared" si="26"/>
        <v>0</v>
      </c>
      <c r="T146" s="3">
        <f t="shared" si="27"/>
        <v>0</v>
      </c>
      <c r="U146" s="3">
        <f t="shared" si="28"/>
        <v>1</v>
      </c>
      <c r="V146" s="3">
        <f t="shared" si="29"/>
        <v>1</v>
      </c>
      <c r="W146" s="3">
        <f t="shared" si="30"/>
        <v>0</v>
      </c>
      <c r="X146" s="3">
        <f t="shared" si="31"/>
        <v>0</v>
      </c>
      <c r="Y146" s="3">
        <f t="shared" si="32"/>
        <v>0</v>
      </c>
    </row>
    <row r="147" spans="1:25" ht="14.45">
      <c r="A147" s="3" t="s">
        <v>92</v>
      </c>
      <c r="B147" s="4">
        <v>45689</v>
      </c>
      <c r="C147" s="3" t="s">
        <v>54</v>
      </c>
      <c r="D147" s="3" t="s">
        <v>50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f t="shared" si="22"/>
        <v>10.79</v>
      </c>
      <c r="L147" s="3">
        <f t="shared" si="23"/>
        <v>0</v>
      </c>
      <c r="M147" s="3">
        <v>0</v>
      </c>
      <c r="N147" s="3">
        <v>3.5</v>
      </c>
      <c r="O147" s="3">
        <f t="shared" si="24"/>
        <v>3.5</v>
      </c>
      <c r="P147" s="3">
        <f t="shared" si="25"/>
        <v>0</v>
      </c>
      <c r="Q147" s="3">
        <v>537058.32999999996</v>
      </c>
      <c r="R147" s="3">
        <v>93555.71</v>
      </c>
      <c r="S147" s="3">
        <f t="shared" si="26"/>
        <v>0</v>
      </c>
      <c r="T147" s="3">
        <f t="shared" si="27"/>
        <v>0</v>
      </c>
      <c r="U147" s="3">
        <f t="shared" si="28"/>
        <v>1</v>
      </c>
      <c r="V147" s="3">
        <f t="shared" si="29"/>
        <v>1</v>
      </c>
      <c r="W147" s="3">
        <f t="shared" si="30"/>
        <v>0</v>
      </c>
      <c r="X147" s="3">
        <f t="shared" si="31"/>
        <v>0</v>
      </c>
      <c r="Y147" s="3">
        <f t="shared" si="32"/>
        <v>0</v>
      </c>
    </row>
    <row r="148" spans="1:25" ht="14.45">
      <c r="A148" s="3" t="s">
        <v>92</v>
      </c>
      <c r="B148" s="4">
        <v>45717</v>
      </c>
      <c r="C148" s="3" t="s">
        <v>54</v>
      </c>
      <c r="D148" s="3" t="s">
        <v>50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f t="shared" si="22"/>
        <v>6.03</v>
      </c>
      <c r="L148" s="3">
        <f t="shared" si="23"/>
        <v>0</v>
      </c>
      <c r="M148" s="3">
        <v>0</v>
      </c>
      <c r="N148" s="3">
        <v>3.4</v>
      </c>
      <c r="O148" s="3">
        <f t="shared" si="24"/>
        <v>3.4</v>
      </c>
      <c r="P148" s="3">
        <f t="shared" si="25"/>
        <v>0</v>
      </c>
      <c r="Q148" s="3">
        <v>601568.87</v>
      </c>
      <c r="R148" s="3">
        <v>91634.82</v>
      </c>
      <c r="S148" s="3">
        <f t="shared" si="26"/>
        <v>0</v>
      </c>
      <c r="T148" s="3">
        <f t="shared" si="27"/>
        <v>0</v>
      </c>
      <c r="U148" s="3">
        <f t="shared" si="28"/>
        <v>1</v>
      </c>
      <c r="V148" s="3">
        <f t="shared" si="29"/>
        <v>1</v>
      </c>
      <c r="W148" s="3">
        <f t="shared" si="30"/>
        <v>0</v>
      </c>
      <c r="X148" s="3">
        <f t="shared" si="31"/>
        <v>0</v>
      </c>
      <c r="Y148" s="3">
        <f t="shared" si="32"/>
        <v>0</v>
      </c>
    </row>
    <row r="149" spans="1:25" ht="14.45">
      <c r="A149" s="3" t="s">
        <v>92</v>
      </c>
      <c r="B149" s="4">
        <v>45748</v>
      </c>
      <c r="C149" s="3" t="s">
        <v>54</v>
      </c>
      <c r="D149" s="3" t="s">
        <v>50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f t="shared" si="22"/>
        <v>4.92</v>
      </c>
      <c r="L149" s="3">
        <f t="shared" si="23"/>
        <v>0</v>
      </c>
      <c r="M149" s="3">
        <v>0</v>
      </c>
      <c r="N149" s="3">
        <v>3.4</v>
      </c>
      <c r="O149" s="3">
        <f t="shared" si="24"/>
        <v>3.4</v>
      </c>
      <c r="P149" s="3">
        <f t="shared" si="25"/>
        <v>0</v>
      </c>
      <c r="Q149" s="3">
        <v>570964.84</v>
      </c>
      <c r="R149" s="3">
        <v>81331.070000000007</v>
      </c>
      <c r="S149" s="3">
        <f t="shared" si="26"/>
        <v>0</v>
      </c>
      <c r="T149" s="3">
        <f t="shared" si="27"/>
        <v>0</v>
      </c>
      <c r="U149" s="3">
        <f t="shared" si="28"/>
        <v>1</v>
      </c>
      <c r="V149" s="3">
        <f t="shared" si="29"/>
        <v>1</v>
      </c>
      <c r="W149" s="3">
        <f t="shared" si="30"/>
        <v>0</v>
      </c>
      <c r="X149" s="3">
        <f t="shared" si="31"/>
        <v>0</v>
      </c>
      <c r="Y149" s="3">
        <f t="shared" si="32"/>
        <v>0</v>
      </c>
    </row>
    <row r="150" spans="1:25" ht="14.45">
      <c r="A150" s="3" t="s">
        <v>93</v>
      </c>
      <c r="B150" s="4">
        <v>45658</v>
      </c>
      <c r="C150" s="3" t="s">
        <v>58</v>
      </c>
      <c r="D150" s="3" t="s">
        <v>62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f t="shared" si="22"/>
        <v>19.78</v>
      </c>
      <c r="L150" s="3">
        <f t="shared" si="23"/>
        <v>0</v>
      </c>
      <c r="M150" s="3">
        <v>0</v>
      </c>
      <c r="N150" s="3">
        <v>3.8</v>
      </c>
      <c r="O150" s="3">
        <f t="shared" si="24"/>
        <v>3.8</v>
      </c>
      <c r="P150" s="3">
        <f t="shared" si="25"/>
        <v>0</v>
      </c>
      <c r="Q150" s="3">
        <v>614024.91</v>
      </c>
      <c r="R150" s="3">
        <v>84828.93</v>
      </c>
      <c r="S150" s="3">
        <f t="shared" si="26"/>
        <v>0</v>
      </c>
      <c r="T150" s="3">
        <f t="shared" si="27"/>
        <v>1</v>
      </c>
      <c r="U150" s="3">
        <f t="shared" si="28"/>
        <v>0</v>
      </c>
      <c r="V150" s="3">
        <f t="shared" si="29"/>
        <v>0</v>
      </c>
      <c r="W150" s="3">
        <f t="shared" si="30"/>
        <v>1</v>
      </c>
      <c r="X150" s="3">
        <f t="shared" si="31"/>
        <v>0</v>
      </c>
      <c r="Y150" s="3">
        <f t="shared" si="32"/>
        <v>0</v>
      </c>
    </row>
    <row r="151" spans="1:25" ht="14.45">
      <c r="A151" s="3" t="s">
        <v>93</v>
      </c>
      <c r="B151" s="4">
        <v>45689</v>
      </c>
      <c r="C151" s="3" t="s">
        <v>58</v>
      </c>
      <c r="D151" s="3" t="s">
        <v>62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f t="shared" si="22"/>
        <v>5.45</v>
      </c>
      <c r="L151" s="3">
        <f t="shared" si="23"/>
        <v>0</v>
      </c>
      <c r="M151" s="3">
        <v>0</v>
      </c>
      <c r="N151" s="3">
        <v>4.0999999999999996</v>
      </c>
      <c r="O151" s="3">
        <f t="shared" si="24"/>
        <v>4.0999999999999996</v>
      </c>
      <c r="P151" s="3">
        <f t="shared" si="25"/>
        <v>0</v>
      </c>
      <c r="Q151" s="3">
        <v>712868.35</v>
      </c>
      <c r="R151" s="3">
        <v>133650.51</v>
      </c>
      <c r="S151" s="3">
        <f t="shared" si="26"/>
        <v>0</v>
      </c>
      <c r="T151" s="3">
        <f t="shared" si="27"/>
        <v>1</v>
      </c>
      <c r="U151" s="3">
        <f t="shared" si="28"/>
        <v>0</v>
      </c>
      <c r="V151" s="3">
        <f t="shared" si="29"/>
        <v>0</v>
      </c>
      <c r="W151" s="3">
        <f t="shared" si="30"/>
        <v>1</v>
      </c>
      <c r="X151" s="3">
        <f t="shared" si="31"/>
        <v>0</v>
      </c>
      <c r="Y151" s="3">
        <f t="shared" si="32"/>
        <v>0</v>
      </c>
    </row>
    <row r="152" spans="1:25" ht="14.45">
      <c r="A152" s="3" t="s">
        <v>93</v>
      </c>
      <c r="B152" s="4">
        <v>45717</v>
      </c>
      <c r="C152" s="3" t="s">
        <v>58</v>
      </c>
      <c r="D152" s="3" t="s">
        <v>62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f t="shared" si="22"/>
        <v>2.33</v>
      </c>
      <c r="L152" s="3">
        <f t="shared" si="23"/>
        <v>0</v>
      </c>
      <c r="M152" s="3">
        <v>1</v>
      </c>
      <c r="N152" s="3">
        <v>3.7</v>
      </c>
      <c r="O152" s="3">
        <f t="shared" si="24"/>
        <v>3.7</v>
      </c>
      <c r="P152" s="3">
        <f t="shared" si="25"/>
        <v>0</v>
      </c>
      <c r="Q152" s="3">
        <v>696744.15</v>
      </c>
      <c r="R152" s="3">
        <v>152230.09</v>
      </c>
      <c r="S152" s="3">
        <f t="shared" si="26"/>
        <v>0</v>
      </c>
      <c r="T152" s="3">
        <f t="shared" si="27"/>
        <v>1</v>
      </c>
      <c r="U152" s="3">
        <f t="shared" si="28"/>
        <v>0</v>
      </c>
      <c r="V152" s="3">
        <f t="shared" si="29"/>
        <v>0</v>
      </c>
      <c r="W152" s="3">
        <f t="shared" si="30"/>
        <v>1</v>
      </c>
      <c r="X152" s="3">
        <f t="shared" si="31"/>
        <v>0</v>
      </c>
      <c r="Y152" s="3">
        <f t="shared" si="32"/>
        <v>0</v>
      </c>
    </row>
    <row r="153" spans="1:25" ht="14.45">
      <c r="A153" s="3" t="s">
        <v>93</v>
      </c>
      <c r="B153" s="4">
        <v>45748</v>
      </c>
      <c r="C153" s="3" t="s">
        <v>58</v>
      </c>
      <c r="D153" s="3" t="s">
        <v>62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f t="shared" si="22"/>
        <v>3.55</v>
      </c>
      <c r="L153" s="3">
        <f t="shared" si="23"/>
        <v>0</v>
      </c>
      <c r="M153" s="3">
        <v>0</v>
      </c>
      <c r="N153" s="3">
        <v>4.0999999999999996</v>
      </c>
      <c r="O153" s="3">
        <f t="shared" si="24"/>
        <v>4.0999999999999996</v>
      </c>
      <c r="P153" s="3">
        <f t="shared" si="25"/>
        <v>0</v>
      </c>
      <c r="Q153" s="3">
        <v>725847.99</v>
      </c>
      <c r="R153" s="3">
        <v>122698.73</v>
      </c>
      <c r="S153" s="3">
        <f t="shared" si="26"/>
        <v>0</v>
      </c>
      <c r="T153" s="3">
        <f t="shared" si="27"/>
        <v>1</v>
      </c>
      <c r="U153" s="3">
        <f t="shared" si="28"/>
        <v>0</v>
      </c>
      <c r="V153" s="3">
        <f t="shared" si="29"/>
        <v>0</v>
      </c>
      <c r="W153" s="3">
        <f t="shared" si="30"/>
        <v>1</v>
      </c>
      <c r="X153" s="3">
        <f t="shared" si="31"/>
        <v>0</v>
      </c>
      <c r="Y153" s="3">
        <f t="shared" si="32"/>
        <v>0</v>
      </c>
    </row>
    <row r="154" spans="1:25" ht="14.45">
      <c r="A154" s="3" t="s">
        <v>94</v>
      </c>
      <c r="B154" s="4">
        <v>45658</v>
      </c>
      <c r="C154" s="3" t="s">
        <v>49</v>
      </c>
      <c r="D154" s="3" t="s">
        <v>52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f t="shared" si="22"/>
        <v>0.2</v>
      </c>
      <c r="L154" s="3">
        <f t="shared" si="23"/>
        <v>0</v>
      </c>
      <c r="M154" s="3">
        <v>0</v>
      </c>
      <c r="N154" s="3">
        <v>4.5</v>
      </c>
      <c r="O154" s="3">
        <f t="shared" si="24"/>
        <v>4.5</v>
      </c>
      <c r="P154" s="3">
        <f t="shared" si="25"/>
        <v>0</v>
      </c>
      <c r="Q154" s="3">
        <v>785028.25</v>
      </c>
      <c r="R154" s="3">
        <v>110726.44</v>
      </c>
      <c r="S154" s="3">
        <f t="shared" si="26"/>
        <v>1</v>
      </c>
      <c r="T154" s="3">
        <f t="shared" si="27"/>
        <v>0</v>
      </c>
      <c r="U154" s="3">
        <f t="shared" si="28"/>
        <v>0</v>
      </c>
      <c r="V154" s="3">
        <f t="shared" si="29"/>
        <v>0</v>
      </c>
      <c r="W154" s="3">
        <f t="shared" si="30"/>
        <v>0</v>
      </c>
      <c r="X154" s="3">
        <f t="shared" si="31"/>
        <v>0</v>
      </c>
      <c r="Y154" s="3">
        <f t="shared" si="32"/>
        <v>1</v>
      </c>
    </row>
    <row r="155" spans="1:25" ht="14.45">
      <c r="A155" s="3" t="s">
        <v>94</v>
      </c>
      <c r="B155" s="4">
        <v>45689</v>
      </c>
      <c r="C155" s="3" t="s">
        <v>49</v>
      </c>
      <c r="D155" s="3" t="s">
        <v>52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f t="shared" si="22"/>
        <v>2.09</v>
      </c>
      <c r="L155" s="3">
        <f t="shared" si="23"/>
        <v>0</v>
      </c>
      <c r="M155" s="3">
        <v>0</v>
      </c>
      <c r="N155" s="3">
        <v>4.2</v>
      </c>
      <c r="O155" s="3">
        <f t="shared" si="24"/>
        <v>4.2</v>
      </c>
      <c r="P155" s="3">
        <f t="shared" si="25"/>
        <v>0</v>
      </c>
      <c r="Q155" s="3">
        <v>698492.67</v>
      </c>
      <c r="R155" s="3">
        <v>117319.32</v>
      </c>
      <c r="S155" s="3">
        <f t="shared" si="26"/>
        <v>1</v>
      </c>
      <c r="T155" s="3">
        <f t="shared" si="27"/>
        <v>0</v>
      </c>
      <c r="U155" s="3">
        <f t="shared" si="28"/>
        <v>0</v>
      </c>
      <c r="V155" s="3">
        <f t="shared" si="29"/>
        <v>0</v>
      </c>
      <c r="W155" s="3">
        <f t="shared" si="30"/>
        <v>0</v>
      </c>
      <c r="X155" s="3">
        <f t="shared" si="31"/>
        <v>0</v>
      </c>
      <c r="Y155" s="3">
        <f t="shared" si="32"/>
        <v>1</v>
      </c>
    </row>
    <row r="156" spans="1:25" ht="14.45">
      <c r="A156" s="3" t="s">
        <v>94</v>
      </c>
      <c r="B156" s="4">
        <v>45717</v>
      </c>
      <c r="C156" s="3" t="s">
        <v>49</v>
      </c>
      <c r="D156" s="3" t="s">
        <v>52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f t="shared" si="22"/>
        <v>2.2599999999999998</v>
      </c>
      <c r="L156" s="3">
        <f t="shared" si="23"/>
        <v>0</v>
      </c>
      <c r="M156" s="3">
        <v>0</v>
      </c>
      <c r="N156" s="3">
        <v>4.2</v>
      </c>
      <c r="O156" s="3">
        <f t="shared" si="24"/>
        <v>4.2</v>
      </c>
      <c r="P156" s="3">
        <f t="shared" si="25"/>
        <v>0</v>
      </c>
      <c r="Q156" s="3">
        <v>685830.24</v>
      </c>
      <c r="R156" s="3">
        <v>128736.18</v>
      </c>
      <c r="S156" s="3">
        <f t="shared" si="26"/>
        <v>1</v>
      </c>
      <c r="T156" s="3">
        <f t="shared" si="27"/>
        <v>0</v>
      </c>
      <c r="U156" s="3">
        <f t="shared" si="28"/>
        <v>0</v>
      </c>
      <c r="V156" s="3">
        <f t="shared" si="29"/>
        <v>0</v>
      </c>
      <c r="W156" s="3">
        <f t="shared" si="30"/>
        <v>0</v>
      </c>
      <c r="X156" s="3">
        <f t="shared" si="31"/>
        <v>0</v>
      </c>
      <c r="Y156" s="3">
        <f t="shared" si="32"/>
        <v>1</v>
      </c>
    </row>
    <row r="157" spans="1:25" ht="14.45">
      <c r="A157" s="3" t="s">
        <v>94</v>
      </c>
      <c r="B157" s="4">
        <v>45748</v>
      </c>
      <c r="C157" s="3" t="s">
        <v>49</v>
      </c>
      <c r="D157" s="3" t="s">
        <v>52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f t="shared" si="22"/>
        <v>0.44</v>
      </c>
      <c r="L157" s="3">
        <f t="shared" si="23"/>
        <v>0</v>
      </c>
      <c r="M157" s="3">
        <v>0</v>
      </c>
      <c r="N157" s="3">
        <v>4.4000000000000004</v>
      </c>
      <c r="O157" s="3">
        <f t="shared" si="24"/>
        <v>4.4000000000000004</v>
      </c>
      <c r="P157" s="3">
        <f t="shared" si="25"/>
        <v>0</v>
      </c>
      <c r="Q157" s="3">
        <v>702318.94</v>
      </c>
      <c r="R157" s="3">
        <v>112829.29</v>
      </c>
      <c r="S157" s="3">
        <f t="shared" si="26"/>
        <v>1</v>
      </c>
      <c r="T157" s="3">
        <f t="shared" si="27"/>
        <v>0</v>
      </c>
      <c r="U157" s="3">
        <f t="shared" si="28"/>
        <v>0</v>
      </c>
      <c r="V157" s="3">
        <f t="shared" si="29"/>
        <v>0</v>
      </c>
      <c r="W157" s="3">
        <f t="shared" si="30"/>
        <v>0</v>
      </c>
      <c r="X157" s="3">
        <f t="shared" si="31"/>
        <v>0</v>
      </c>
      <c r="Y157" s="3">
        <f t="shared" si="32"/>
        <v>1</v>
      </c>
    </row>
    <row r="158" spans="1:25" ht="14.45">
      <c r="A158" s="3" t="s">
        <v>95</v>
      </c>
      <c r="B158" s="4">
        <v>45658</v>
      </c>
      <c r="C158" s="3" t="s">
        <v>54</v>
      </c>
      <c r="D158" s="3" t="s">
        <v>62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f t="shared" si="22"/>
        <v>3.08</v>
      </c>
      <c r="L158" s="3">
        <f t="shared" si="23"/>
        <v>0</v>
      </c>
      <c r="M158" s="3">
        <v>0</v>
      </c>
      <c r="N158" s="3">
        <v>3.9</v>
      </c>
      <c r="O158" s="3">
        <f t="shared" si="24"/>
        <v>3.9</v>
      </c>
      <c r="P158" s="3">
        <f t="shared" si="25"/>
        <v>0</v>
      </c>
      <c r="Q158" s="3">
        <v>700078.32</v>
      </c>
      <c r="R158" s="3">
        <v>123707.58</v>
      </c>
      <c r="S158" s="3">
        <f t="shared" si="26"/>
        <v>0</v>
      </c>
      <c r="T158" s="3">
        <f t="shared" si="27"/>
        <v>1</v>
      </c>
      <c r="U158" s="3">
        <f t="shared" si="28"/>
        <v>0</v>
      </c>
      <c r="V158" s="3">
        <f t="shared" si="29"/>
        <v>1</v>
      </c>
      <c r="W158" s="3">
        <f t="shared" si="30"/>
        <v>0</v>
      </c>
      <c r="X158" s="3">
        <f t="shared" si="31"/>
        <v>0</v>
      </c>
      <c r="Y158" s="3">
        <f t="shared" si="32"/>
        <v>0</v>
      </c>
    </row>
    <row r="159" spans="1:25" ht="14.45">
      <c r="A159" s="3" t="s">
        <v>95</v>
      </c>
      <c r="B159" s="4">
        <v>45689</v>
      </c>
      <c r="C159" s="3" t="s">
        <v>54</v>
      </c>
      <c r="D159" s="3" t="s">
        <v>62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f t="shared" si="22"/>
        <v>7.99</v>
      </c>
      <c r="L159" s="3">
        <f t="shared" si="23"/>
        <v>0</v>
      </c>
      <c r="M159" s="3">
        <v>0</v>
      </c>
      <c r="N159" s="3">
        <v>3</v>
      </c>
      <c r="O159" s="3">
        <f t="shared" si="24"/>
        <v>3</v>
      </c>
      <c r="P159" s="3">
        <f t="shared" si="25"/>
        <v>0</v>
      </c>
      <c r="Q159" s="3">
        <v>602002.31999999995</v>
      </c>
      <c r="R159" s="3">
        <v>110453.28</v>
      </c>
      <c r="S159" s="3">
        <f t="shared" si="26"/>
        <v>0</v>
      </c>
      <c r="T159" s="3">
        <f t="shared" si="27"/>
        <v>1</v>
      </c>
      <c r="U159" s="3">
        <f t="shared" si="28"/>
        <v>0</v>
      </c>
      <c r="V159" s="3">
        <f t="shared" si="29"/>
        <v>1</v>
      </c>
      <c r="W159" s="3">
        <f t="shared" si="30"/>
        <v>0</v>
      </c>
      <c r="X159" s="3">
        <f t="shared" si="31"/>
        <v>0</v>
      </c>
      <c r="Y159" s="3">
        <f t="shared" si="32"/>
        <v>0</v>
      </c>
    </row>
    <row r="160" spans="1:25" ht="14.45">
      <c r="A160" s="3" t="s">
        <v>95</v>
      </c>
      <c r="B160" s="4">
        <v>45717</v>
      </c>
      <c r="C160" s="3" t="s">
        <v>54</v>
      </c>
      <c r="D160" s="3" t="s">
        <v>62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f t="shared" si="22"/>
        <v>0.2</v>
      </c>
      <c r="L160" s="3">
        <f t="shared" si="23"/>
        <v>0</v>
      </c>
      <c r="M160" s="3">
        <v>0</v>
      </c>
      <c r="N160" s="3">
        <v>3.4</v>
      </c>
      <c r="O160" s="3">
        <f t="shared" si="24"/>
        <v>3.4</v>
      </c>
      <c r="P160" s="3">
        <f t="shared" si="25"/>
        <v>0</v>
      </c>
      <c r="Q160" s="3">
        <v>724216.07</v>
      </c>
      <c r="R160" s="3">
        <v>100627.56</v>
      </c>
      <c r="S160" s="3">
        <f t="shared" si="26"/>
        <v>0</v>
      </c>
      <c r="T160" s="3">
        <f t="shared" si="27"/>
        <v>1</v>
      </c>
      <c r="U160" s="3">
        <f t="shared" si="28"/>
        <v>0</v>
      </c>
      <c r="V160" s="3">
        <f t="shared" si="29"/>
        <v>1</v>
      </c>
      <c r="W160" s="3">
        <f t="shared" si="30"/>
        <v>0</v>
      </c>
      <c r="X160" s="3">
        <f t="shared" si="31"/>
        <v>0</v>
      </c>
      <c r="Y160" s="3">
        <f t="shared" si="32"/>
        <v>0</v>
      </c>
    </row>
    <row r="161" spans="1:25" ht="14.45">
      <c r="A161" s="3" t="s">
        <v>95</v>
      </c>
      <c r="B161" s="4">
        <v>45748</v>
      </c>
      <c r="C161" s="3" t="s">
        <v>54</v>
      </c>
      <c r="D161" s="3" t="s">
        <v>62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f t="shared" si="22"/>
        <v>5.46</v>
      </c>
      <c r="L161" s="3">
        <f t="shared" si="23"/>
        <v>0</v>
      </c>
      <c r="M161" s="3">
        <v>0</v>
      </c>
      <c r="N161" s="3">
        <v>3.3</v>
      </c>
      <c r="O161" s="3">
        <f t="shared" si="24"/>
        <v>3.3</v>
      </c>
      <c r="P161" s="3">
        <f t="shared" si="25"/>
        <v>0</v>
      </c>
      <c r="Q161" s="3">
        <v>620973.03</v>
      </c>
      <c r="R161" s="3">
        <v>72303.850000000006</v>
      </c>
      <c r="S161" s="3">
        <f t="shared" si="26"/>
        <v>0</v>
      </c>
      <c r="T161" s="3">
        <f t="shared" si="27"/>
        <v>1</v>
      </c>
      <c r="U161" s="3">
        <f t="shared" si="28"/>
        <v>0</v>
      </c>
      <c r="V161" s="3">
        <f t="shared" si="29"/>
        <v>1</v>
      </c>
      <c r="W161" s="3">
        <f t="shared" si="30"/>
        <v>0</v>
      </c>
      <c r="X161" s="3">
        <f t="shared" si="31"/>
        <v>0</v>
      </c>
      <c r="Y161" s="3">
        <f t="shared" si="32"/>
        <v>0</v>
      </c>
    </row>
    <row r="162" spans="1:25" ht="14.45">
      <c r="A162" s="3" t="s">
        <v>96</v>
      </c>
      <c r="B162" s="4">
        <v>45658</v>
      </c>
      <c r="C162" s="3" t="s">
        <v>58</v>
      </c>
      <c r="D162" s="3" t="s">
        <v>52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f t="shared" si="22"/>
        <v>4.05</v>
      </c>
      <c r="L162" s="3">
        <f t="shared" si="23"/>
        <v>0</v>
      </c>
      <c r="M162" s="3">
        <v>0</v>
      </c>
      <c r="N162" s="3">
        <v>4</v>
      </c>
      <c r="O162" s="3">
        <f t="shared" si="24"/>
        <v>4</v>
      </c>
      <c r="P162" s="3">
        <f t="shared" si="25"/>
        <v>0</v>
      </c>
      <c r="Q162" s="3">
        <v>650480.06000000006</v>
      </c>
      <c r="R162" s="3">
        <v>109012.07</v>
      </c>
      <c r="S162" s="3">
        <f t="shared" si="26"/>
        <v>1</v>
      </c>
      <c r="T162" s="3">
        <f t="shared" si="27"/>
        <v>0</v>
      </c>
      <c r="U162" s="3">
        <f t="shared" si="28"/>
        <v>0</v>
      </c>
      <c r="V162" s="3">
        <f t="shared" si="29"/>
        <v>0</v>
      </c>
      <c r="W162" s="3">
        <f t="shared" si="30"/>
        <v>1</v>
      </c>
      <c r="X162" s="3">
        <f t="shared" si="31"/>
        <v>0</v>
      </c>
      <c r="Y162" s="3">
        <f t="shared" si="32"/>
        <v>0</v>
      </c>
    </row>
    <row r="163" spans="1:25" ht="14.45">
      <c r="A163" s="3" t="s">
        <v>96</v>
      </c>
      <c r="B163" s="4">
        <v>45689</v>
      </c>
      <c r="C163" s="3" t="s">
        <v>58</v>
      </c>
      <c r="D163" s="3" t="s">
        <v>52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f t="shared" si="22"/>
        <v>4.3600000000000003</v>
      </c>
      <c r="L163" s="3">
        <f t="shared" si="23"/>
        <v>0</v>
      </c>
      <c r="M163" s="3">
        <v>0</v>
      </c>
      <c r="N163" s="3">
        <v>4.2</v>
      </c>
      <c r="O163" s="3">
        <f t="shared" si="24"/>
        <v>4.2</v>
      </c>
      <c r="P163" s="3">
        <f t="shared" si="25"/>
        <v>0</v>
      </c>
      <c r="Q163" s="3">
        <v>778298.88</v>
      </c>
      <c r="R163" s="3">
        <v>130076.72</v>
      </c>
      <c r="S163" s="3">
        <f t="shared" si="26"/>
        <v>1</v>
      </c>
      <c r="T163" s="3">
        <f t="shared" si="27"/>
        <v>0</v>
      </c>
      <c r="U163" s="3">
        <f t="shared" si="28"/>
        <v>0</v>
      </c>
      <c r="V163" s="3">
        <f t="shared" si="29"/>
        <v>0</v>
      </c>
      <c r="W163" s="3">
        <f t="shared" si="30"/>
        <v>1</v>
      </c>
      <c r="X163" s="3">
        <f t="shared" si="31"/>
        <v>0</v>
      </c>
      <c r="Y163" s="3">
        <f t="shared" si="32"/>
        <v>0</v>
      </c>
    </row>
    <row r="164" spans="1:25" ht="14.45">
      <c r="A164" s="3" t="s">
        <v>96</v>
      </c>
      <c r="B164" s="4">
        <v>45717</v>
      </c>
      <c r="C164" s="3" t="s">
        <v>58</v>
      </c>
      <c r="D164" s="3" t="s">
        <v>52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f t="shared" si="22"/>
        <v>3.3650000000000002</v>
      </c>
      <c r="L164" s="3">
        <f t="shared" si="23"/>
        <v>1</v>
      </c>
      <c r="M164" s="3">
        <v>0</v>
      </c>
      <c r="N164" s="3">
        <v>4.2</v>
      </c>
      <c r="O164" s="3">
        <f t="shared" si="24"/>
        <v>4.2</v>
      </c>
      <c r="P164" s="3">
        <f t="shared" si="25"/>
        <v>0</v>
      </c>
      <c r="Q164" s="3">
        <v>677096.71</v>
      </c>
      <c r="R164" s="3">
        <v>97174.11</v>
      </c>
      <c r="S164" s="3">
        <f t="shared" si="26"/>
        <v>1</v>
      </c>
      <c r="T164" s="3">
        <f t="shared" si="27"/>
        <v>0</v>
      </c>
      <c r="U164" s="3">
        <f t="shared" si="28"/>
        <v>0</v>
      </c>
      <c r="V164" s="3">
        <f t="shared" si="29"/>
        <v>0</v>
      </c>
      <c r="W164" s="3">
        <f t="shared" si="30"/>
        <v>1</v>
      </c>
      <c r="X164" s="3">
        <f t="shared" si="31"/>
        <v>0</v>
      </c>
      <c r="Y164" s="3">
        <f t="shared" si="32"/>
        <v>0</v>
      </c>
    </row>
    <row r="165" spans="1:25" ht="14.45">
      <c r="A165" s="3" t="s">
        <v>96</v>
      </c>
      <c r="B165" s="4">
        <v>45748</v>
      </c>
      <c r="C165" s="3" t="s">
        <v>58</v>
      </c>
      <c r="D165" s="3" t="s">
        <v>52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f t="shared" si="22"/>
        <v>0.54</v>
      </c>
      <c r="L165" s="3">
        <f t="shared" si="23"/>
        <v>0</v>
      </c>
      <c r="M165" s="3">
        <v>0</v>
      </c>
      <c r="N165" s="3">
        <v>4.3</v>
      </c>
      <c r="O165" s="3">
        <f t="shared" si="24"/>
        <v>4.3</v>
      </c>
      <c r="P165" s="3">
        <f t="shared" si="25"/>
        <v>0</v>
      </c>
      <c r="Q165" s="3">
        <v>692008.64</v>
      </c>
      <c r="R165" s="3">
        <v>116337.87</v>
      </c>
      <c r="S165" s="3">
        <f t="shared" si="26"/>
        <v>1</v>
      </c>
      <c r="T165" s="3">
        <f t="shared" si="27"/>
        <v>0</v>
      </c>
      <c r="U165" s="3">
        <f t="shared" si="28"/>
        <v>0</v>
      </c>
      <c r="V165" s="3">
        <f t="shared" si="29"/>
        <v>0</v>
      </c>
      <c r="W165" s="3">
        <f t="shared" si="30"/>
        <v>1</v>
      </c>
      <c r="X165" s="3">
        <f t="shared" si="31"/>
        <v>0</v>
      </c>
      <c r="Y165" s="3">
        <f t="shared" si="32"/>
        <v>0</v>
      </c>
    </row>
    <row r="166" spans="1:25" ht="14.45">
      <c r="A166" s="3" t="s">
        <v>97</v>
      </c>
      <c r="B166" s="4">
        <v>45658</v>
      </c>
      <c r="C166" s="3" t="s">
        <v>54</v>
      </c>
      <c r="D166" s="3" t="s">
        <v>62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f t="shared" si="22"/>
        <v>11.37</v>
      </c>
      <c r="L166" s="3">
        <f t="shared" si="23"/>
        <v>0</v>
      </c>
      <c r="M166" s="3">
        <v>1</v>
      </c>
      <c r="N166" s="3">
        <v>4.3</v>
      </c>
      <c r="O166" s="3">
        <f t="shared" si="24"/>
        <v>4.3</v>
      </c>
      <c r="P166" s="3">
        <f t="shared" si="25"/>
        <v>0</v>
      </c>
      <c r="Q166" s="3">
        <v>825797.91</v>
      </c>
      <c r="R166" s="3">
        <v>130945.24</v>
      </c>
      <c r="S166" s="3">
        <f t="shared" si="26"/>
        <v>0</v>
      </c>
      <c r="T166" s="3">
        <f t="shared" si="27"/>
        <v>1</v>
      </c>
      <c r="U166" s="3">
        <f t="shared" si="28"/>
        <v>0</v>
      </c>
      <c r="V166" s="3">
        <f t="shared" si="29"/>
        <v>1</v>
      </c>
      <c r="W166" s="3">
        <f t="shared" si="30"/>
        <v>0</v>
      </c>
      <c r="X166" s="3">
        <f t="shared" si="31"/>
        <v>0</v>
      </c>
      <c r="Y166" s="3">
        <f t="shared" si="32"/>
        <v>0</v>
      </c>
    </row>
    <row r="167" spans="1:25" ht="14.45">
      <c r="A167" s="3" t="s">
        <v>97</v>
      </c>
      <c r="B167" s="4">
        <v>45689</v>
      </c>
      <c r="C167" s="3" t="s">
        <v>54</v>
      </c>
      <c r="D167" s="3" t="s">
        <v>62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f t="shared" si="22"/>
        <v>9.43</v>
      </c>
      <c r="L167" s="3">
        <f t="shared" si="23"/>
        <v>0</v>
      </c>
      <c r="M167" s="3">
        <v>0</v>
      </c>
      <c r="N167" s="3">
        <v>4.2</v>
      </c>
      <c r="O167" s="3">
        <f t="shared" si="24"/>
        <v>4.2</v>
      </c>
      <c r="P167" s="3">
        <f t="shared" si="25"/>
        <v>0</v>
      </c>
      <c r="Q167" s="3">
        <v>706285.52</v>
      </c>
      <c r="R167" s="3">
        <v>138014.72</v>
      </c>
      <c r="S167" s="3">
        <f t="shared" si="26"/>
        <v>0</v>
      </c>
      <c r="T167" s="3">
        <f t="shared" si="27"/>
        <v>1</v>
      </c>
      <c r="U167" s="3">
        <f t="shared" si="28"/>
        <v>0</v>
      </c>
      <c r="V167" s="3">
        <f t="shared" si="29"/>
        <v>1</v>
      </c>
      <c r="W167" s="3">
        <f t="shared" si="30"/>
        <v>0</v>
      </c>
      <c r="X167" s="3">
        <f t="shared" si="31"/>
        <v>0</v>
      </c>
      <c r="Y167" s="3">
        <f t="shared" si="32"/>
        <v>0</v>
      </c>
    </row>
    <row r="168" spans="1:25" ht="14.45">
      <c r="A168" s="3" t="s">
        <v>97</v>
      </c>
      <c r="B168" s="4">
        <v>45717</v>
      </c>
      <c r="C168" s="3" t="s">
        <v>54</v>
      </c>
      <c r="D168" s="3" t="s">
        <v>62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f t="shared" si="22"/>
        <v>3.49</v>
      </c>
      <c r="L168" s="3">
        <f t="shared" si="23"/>
        <v>0</v>
      </c>
      <c r="M168" s="3">
        <v>0</v>
      </c>
      <c r="N168" s="3">
        <v>4</v>
      </c>
      <c r="O168" s="3">
        <f t="shared" si="24"/>
        <v>4</v>
      </c>
      <c r="P168" s="3">
        <f t="shared" si="25"/>
        <v>0</v>
      </c>
      <c r="Q168" s="3">
        <v>665534.69999999995</v>
      </c>
      <c r="R168" s="3">
        <v>113167.73</v>
      </c>
      <c r="S168" s="3">
        <f t="shared" si="26"/>
        <v>0</v>
      </c>
      <c r="T168" s="3">
        <f t="shared" si="27"/>
        <v>1</v>
      </c>
      <c r="U168" s="3">
        <f t="shared" si="28"/>
        <v>0</v>
      </c>
      <c r="V168" s="3">
        <f t="shared" si="29"/>
        <v>1</v>
      </c>
      <c r="W168" s="3">
        <f t="shared" si="30"/>
        <v>0</v>
      </c>
      <c r="X168" s="3">
        <f t="shared" si="31"/>
        <v>0</v>
      </c>
      <c r="Y168" s="3">
        <f t="shared" si="32"/>
        <v>0</v>
      </c>
    </row>
    <row r="169" spans="1:25" ht="14.45">
      <c r="A169" s="3" t="s">
        <v>97</v>
      </c>
      <c r="B169" s="4">
        <v>45748</v>
      </c>
      <c r="C169" s="3" t="s">
        <v>54</v>
      </c>
      <c r="D169" s="3" t="s">
        <v>62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f t="shared" si="22"/>
        <v>7.86</v>
      </c>
      <c r="L169" s="3">
        <f t="shared" si="23"/>
        <v>0</v>
      </c>
      <c r="M169" s="3">
        <v>0</v>
      </c>
      <c r="N169" s="3">
        <v>4.0999999999999996</v>
      </c>
      <c r="O169" s="3">
        <f t="shared" si="24"/>
        <v>4.0999999999999996</v>
      </c>
      <c r="P169" s="3">
        <f t="shared" si="25"/>
        <v>0</v>
      </c>
      <c r="Q169" s="3">
        <v>820729.29</v>
      </c>
      <c r="R169" s="3">
        <v>159325.47</v>
      </c>
      <c r="S169" s="3">
        <f t="shared" si="26"/>
        <v>0</v>
      </c>
      <c r="T169" s="3">
        <f t="shared" si="27"/>
        <v>1</v>
      </c>
      <c r="U169" s="3">
        <f t="shared" si="28"/>
        <v>0</v>
      </c>
      <c r="V169" s="3">
        <f t="shared" si="29"/>
        <v>1</v>
      </c>
      <c r="W169" s="3">
        <f t="shared" si="30"/>
        <v>0</v>
      </c>
      <c r="X169" s="3">
        <f t="shared" si="31"/>
        <v>0</v>
      </c>
      <c r="Y169" s="3">
        <f t="shared" si="32"/>
        <v>0</v>
      </c>
    </row>
    <row r="170" spans="1:25" ht="14.45">
      <c r="A170" s="3" t="s">
        <v>98</v>
      </c>
      <c r="B170" s="4">
        <v>45658</v>
      </c>
      <c r="C170" s="3" t="s">
        <v>49</v>
      </c>
      <c r="D170" s="3" t="s">
        <v>50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f t="shared" si="22"/>
        <v>12.55</v>
      </c>
      <c r="L170" s="3">
        <f t="shared" si="23"/>
        <v>0</v>
      </c>
      <c r="M170" s="3">
        <v>0</v>
      </c>
      <c r="N170" s="3">
        <v>4.9000000000000004</v>
      </c>
      <c r="O170" s="3">
        <f t="shared" si="24"/>
        <v>4.9000000000000004</v>
      </c>
      <c r="P170" s="3">
        <f t="shared" si="25"/>
        <v>0</v>
      </c>
      <c r="Q170" s="3">
        <v>739831.73</v>
      </c>
      <c r="R170" s="3">
        <v>119490.21</v>
      </c>
      <c r="S170" s="3">
        <f t="shared" si="26"/>
        <v>0</v>
      </c>
      <c r="T170" s="3">
        <f t="shared" si="27"/>
        <v>0</v>
      </c>
      <c r="U170" s="3">
        <f t="shared" si="28"/>
        <v>1</v>
      </c>
      <c r="V170" s="3">
        <f t="shared" si="29"/>
        <v>0</v>
      </c>
      <c r="W170" s="3">
        <f t="shared" si="30"/>
        <v>0</v>
      </c>
      <c r="X170" s="3">
        <f t="shared" si="31"/>
        <v>0</v>
      </c>
      <c r="Y170" s="3">
        <f t="shared" si="32"/>
        <v>1</v>
      </c>
    </row>
    <row r="171" spans="1:25" ht="14.45">
      <c r="A171" s="3" t="s">
        <v>98</v>
      </c>
      <c r="B171" s="4">
        <v>45689</v>
      </c>
      <c r="C171" s="3" t="s">
        <v>49</v>
      </c>
      <c r="D171" s="3" t="s">
        <v>50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f t="shared" si="22"/>
        <v>3.48</v>
      </c>
      <c r="L171" s="3">
        <f t="shared" si="23"/>
        <v>0</v>
      </c>
      <c r="M171" s="3">
        <v>0</v>
      </c>
      <c r="N171" s="3">
        <v>5</v>
      </c>
      <c r="O171" s="3">
        <f t="shared" si="24"/>
        <v>5</v>
      </c>
      <c r="P171" s="3">
        <f t="shared" si="25"/>
        <v>0</v>
      </c>
      <c r="Q171" s="3">
        <v>593637.14</v>
      </c>
      <c r="R171" s="3">
        <v>106648.14</v>
      </c>
      <c r="S171" s="3">
        <f t="shared" si="26"/>
        <v>0</v>
      </c>
      <c r="T171" s="3">
        <f t="shared" si="27"/>
        <v>0</v>
      </c>
      <c r="U171" s="3">
        <f t="shared" si="28"/>
        <v>1</v>
      </c>
      <c r="V171" s="3">
        <f t="shared" si="29"/>
        <v>0</v>
      </c>
      <c r="W171" s="3">
        <f t="shared" si="30"/>
        <v>0</v>
      </c>
      <c r="X171" s="3">
        <f t="shared" si="31"/>
        <v>0</v>
      </c>
      <c r="Y171" s="3">
        <f t="shared" si="32"/>
        <v>1</v>
      </c>
    </row>
    <row r="172" spans="1:25" ht="14.45">
      <c r="A172" s="3" t="s">
        <v>98</v>
      </c>
      <c r="B172" s="4">
        <v>45717</v>
      </c>
      <c r="C172" s="3" t="s">
        <v>49</v>
      </c>
      <c r="D172" s="3" t="s">
        <v>50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f t="shared" si="22"/>
        <v>7.73</v>
      </c>
      <c r="L172" s="3">
        <f t="shared" si="23"/>
        <v>0</v>
      </c>
      <c r="M172" s="3">
        <v>0</v>
      </c>
      <c r="N172" s="3">
        <v>4.9000000000000004</v>
      </c>
      <c r="O172" s="3">
        <f t="shared" si="24"/>
        <v>4.9000000000000004</v>
      </c>
      <c r="P172" s="3">
        <f t="shared" si="25"/>
        <v>0</v>
      </c>
      <c r="Q172" s="3">
        <v>769702.76</v>
      </c>
      <c r="R172" s="3">
        <v>158697</v>
      </c>
      <c r="S172" s="3">
        <f t="shared" si="26"/>
        <v>0</v>
      </c>
      <c r="T172" s="3">
        <f t="shared" si="27"/>
        <v>0</v>
      </c>
      <c r="U172" s="3">
        <f t="shared" si="28"/>
        <v>1</v>
      </c>
      <c r="V172" s="3">
        <f t="shared" si="29"/>
        <v>0</v>
      </c>
      <c r="W172" s="3">
        <f t="shared" si="30"/>
        <v>0</v>
      </c>
      <c r="X172" s="3">
        <f t="shared" si="31"/>
        <v>0</v>
      </c>
      <c r="Y172" s="3">
        <f t="shared" si="32"/>
        <v>1</v>
      </c>
    </row>
    <row r="173" spans="1:25" ht="14.45">
      <c r="A173" s="3" t="s">
        <v>98</v>
      </c>
      <c r="B173" s="4">
        <v>45748</v>
      </c>
      <c r="C173" s="3" t="s">
        <v>49</v>
      </c>
      <c r="D173" s="3" t="s">
        <v>50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f t="shared" si="22"/>
        <v>0.25</v>
      </c>
      <c r="L173" s="3">
        <f t="shared" si="23"/>
        <v>0</v>
      </c>
      <c r="M173" s="3">
        <v>0</v>
      </c>
      <c r="N173" s="3">
        <v>4.4000000000000004</v>
      </c>
      <c r="O173" s="3">
        <f t="shared" si="24"/>
        <v>4.4000000000000004</v>
      </c>
      <c r="P173" s="3">
        <f t="shared" si="25"/>
        <v>0</v>
      </c>
      <c r="Q173" s="3">
        <v>679731.57</v>
      </c>
      <c r="R173" s="3">
        <v>121546.42</v>
      </c>
      <c r="S173" s="3">
        <f t="shared" si="26"/>
        <v>0</v>
      </c>
      <c r="T173" s="3">
        <f t="shared" si="27"/>
        <v>0</v>
      </c>
      <c r="U173" s="3">
        <f t="shared" si="28"/>
        <v>1</v>
      </c>
      <c r="V173" s="3">
        <f t="shared" si="29"/>
        <v>0</v>
      </c>
      <c r="W173" s="3">
        <f t="shared" si="30"/>
        <v>0</v>
      </c>
      <c r="X173" s="3">
        <f t="shared" si="31"/>
        <v>0</v>
      </c>
      <c r="Y173" s="3">
        <f t="shared" si="32"/>
        <v>1</v>
      </c>
    </row>
    <row r="174" spans="1:25" ht="14.45">
      <c r="A174" s="3" t="s">
        <v>99</v>
      </c>
      <c r="B174" s="4">
        <v>45658</v>
      </c>
      <c r="C174" s="3" t="s">
        <v>49</v>
      </c>
      <c r="D174" s="3" t="s">
        <v>50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f t="shared" si="22"/>
        <v>6.43</v>
      </c>
      <c r="L174" s="3">
        <f t="shared" si="23"/>
        <v>0</v>
      </c>
      <c r="M174" s="3">
        <v>0</v>
      </c>
      <c r="N174" s="3">
        <v>3.3</v>
      </c>
      <c r="O174" s="3">
        <f t="shared" si="24"/>
        <v>3.3</v>
      </c>
      <c r="P174" s="3">
        <f t="shared" si="25"/>
        <v>0</v>
      </c>
      <c r="Q174" s="3">
        <v>780344.18</v>
      </c>
      <c r="R174" s="3">
        <v>118239.09</v>
      </c>
      <c r="S174" s="3">
        <f t="shared" si="26"/>
        <v>0</v>
      </c>
      <c r="T174" s="3">
        <f t="shared" si="27"/>
        <v>0</v>
      </c>
      <c r="U174" s="3">
        <f t="shared" si="28"/>
        <v>1</v>
      </c>
      <c r="V174" s="3">
        <f t="shared" si="29"/>
        <v>0</v>
      </c>
      <c r="W174" s="3">
        <f t="shared" si="30"/>
        <v>0</v>
      </c>
      <c r="X174" s="3">
        <f t="shared" si="31"/>
        <v>0</v>
      </c>
      <c r="Y174" s="3">
        <f t="shared" si="32"/>
        <v>1</v>
      </c>
    </row>
    <row r="175" spans="1:25" ht="14.45">
      <c r="A175" s="3" t="s">
        <v>99</v>
      </c>
      <c r="B175" s="4">
        <v>45689</v>
      </c>
      <c r="C175" s="3" t="s">
        <v>49</v>
      </c>
      <c r="D175" s="3" t="s">
        <v>50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f t="shared" si="22"/>
        <v>2.11</v>
      </c>
      <c r="L175" s="3">
        <f t="shared" si="23"/>
        <v>0</v>
      </c>
      <c r="M175" s="3">
        <v>0</v>
      </c>
      <c r="N175" s="3">
        <v>3.1</v>
      </c>
      <c r="O175" s="3">
        <f t="shared" si="24"/>
        <v>3.1</v>
      </c>
      <c r="P175" s="3">
        <f t="shared" si="25"/>
        <v>0</v>
      </c>
      <c r="Q175" s="3">
        <v>721364.11</v>
      </c>
      <c r="R175" s="3">
        <v>147272.81</v>
      </c>
      <c r="S175" s="3">
        <f t="shared" si="26"/>
        <v>0</v>
      </c>
      <c r="T175" s="3">
        <f t="shared" si="27"/>
        <v>0</v>
      </c>
      <c r="U175" s="3">
        <f t="shared" si="28"/>
        <v>1</v>
      </c>
      <c r="V175" s="3">
        <f t="shared" si="29"/>
        <v>0</v>
      </c>
      <c r="W175" s="3">
        <f t="shared" si="30"/>
        <v>0</v>
      </c>
      <c r="X175" s="3">
        <f t="shared" si="31"/>
        <v>0</v>
      </c>
      <c r="Y175" s="3">
        <f t="shared" si="32"/>
        <v>1</v>
      </c>
    </row>
    <row r="176" spans="1:25" ht="14.45">
      <c r="A176" s="3" t="s">
        <v>99</v>
      </c>
      <c r="B176" s="4">
        <v>45717</v>
      </c>
      <c r="C176" s="3" t="s">
        <v>49</v>
      </c>
      <c r="D176" s="3" t="s">
        <v>50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f t="shared" si="22"/>
        <v>9.1199999999999992</v>
      </c>
      <c r="L176" s="3">
        <f t="shared" si="23"/>
        <v>0</v>
      </c>
      <c r="M176" s="3">
        <v>0</v>
      </c>
      <c r="N176" s="3">
        <v>3.6</v>
      </c>
      <c r="O176" s="3">
        <f t="shared" si="24"/>
        <v>3.6</v>
      </c>
      <c r="P176" s="3">
        <f t="shared" si="25"/>
        <v>0</v>
      </c>
      <c r="Q176" s="3">
        <v>758138.29</v>
      </c>
      <c r="R176" s="3">
        <v>132975.26</v>
      </c>
      <c r="S176" s="3">
        <f t="shared" si="26"/>
        <v>0</v>
      </c>
      <c r="T176" s="3">
        <f t="shared" si="27"/>
        <v>0</v>
      </c>
      <c r="U176" s="3">
        <f t="shared" si="28"/>
        <v>1</v>
      </c>
      <c r="V176" s="3">
        <f t="shared" si="29"/>
        <v>0</v>
      </c>
      <c r="W176" s="3">
        <f t="shared" si="30"/>
        <v>0</v>
      </c>
      <c r="X176" s="3">
        <f t="shared" si="31"/>
        <v>0</v>
      </c>
      <c r="Y176" s="3">
        <f t="shared" si="32"/>
        <v>1</v>
      </c>
    </row>
    <row r="177" spans="1:25" ht="14.45">
      <c r="A177" s="3" t="s">
        <v>99</v>
      </c>
      <c r="B177" s="4">
        <v>45748</v>
      </c>
      <c r="C177" s="3" t="s">
        <v>49</v>
      </c>
      <c r="D177" s="3" t="s">
        <v>50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f t="shared" si="22"/>
        <v>2.71</v>
      </c>
      <c r="L177" s="3">
        <f t="shared" si="23"/>
        <v>0</v>
      </c>
      <c r="M177" s="3">
        <v>0</v>
      </c>
      <c r="N177" s="3">
        <v>3.1</v>
      </c>
      <c r="O177" s="3">
        <f t="shared" si="24"/>
        <v>3.1</v>
      </c>
      <c r="P177" s="3">
        <f t="shared" si="25"/>
        <v>0</v>
      </c>
      <c r="Q177" s="3">
        <v>804264</v>
      </c>
      <c r="R177" s="3">
        <v>167117.91</v>
      </c>
      <c r="S177" s="3">
        <f t="shared" si="26"/>
        <v>0</v>
      </c>
      <c r="T177" s="3">
        <f t="shared" si="27"/>
        <v>0</v>
      </c>
      <c r="U177" s="3">
        <f t="shared" si="28"/>
        <v>1</v>
      </c>
      <c r="V177" s="3">
        <f t="shared" si="29"/>
        <v>0</v>
      </c>
      <c r="W177" s="3">
        <f t="shared" si="30"/>
        <v>0</v>
      </c>
      <c r="X177" s="3">
        <f t="shared" si="31"/>
        <v>0</v>
      </c>
      <c r="Y177" s="3">
        <f t="shared" si="32"/>
        <v>1</v>
      </c>
    </row>
    <row r="178" spans="1:25" ht="14.45">
      <c r="A178" s="3" t="s">
        <v>100</v>
      </c>
      <c r="B178" s="4">
        <v>45658</v>
      </c>
      <c r="C178" s="3" t="s">
        <v>61</v>
      </c>
      <c r="D178" s="3" t="s">
        <v>55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f t="shared" si="22"/>
        <v>3.65</v>
      </c>
      <c r="L178" s="3">
        <f t="shared" si="23"/>
        <v>0</v>
      </c>
      <c r="M178" s="3">
        <v>1</v>
      </c>
      <c r="N178" s="3">
        <v>3.7</v>
      </c>
      <c r="O178" s="3">
        <f t="shared" si="24"/>
        <v>3.7</v>
      </c>
      <c r="P178" s="3">
        <f t="shared" si="25"/>
        <v>0</v>
      </c>
      <c r="Q178" s="3">
        <v>887537.75</v>
      </c>
      <c r="R178" s="3">
        <v>160362.92000000001</v>
      </c>
      <c r="S178" s="3">
        <f t="shared" si="26"/>
        <v>0</v>
      </c>
      <c r="T178" s="3">
        <f t="shared" si="27"/>
        <v>0</v>
      </c>
      <c r="U178" s="3">
        <f t="shared" si="28"/>
        <v>0</v>
      </c>
      <c r="V178" s="3">
        <f t="shared" si="29"/>
        <v>0</v>
      </c>
      <c r="W178" s="3">
        <f t="shared" si="30"/>
        <v>0</v>
      </c>
      <c r="X178" s="3">
        <f t="shared" si="31"/>
        <v>1</v>
      </c>
      <c r="Y178" s="3">
        <f t="shared" si="32"/>
        <v>0</v>
      </c>
    </row>
    <row r="179" spans="1:25" ht="14.45">
      <c r="A179" s="3" t="s">
        <v>100</v>
      </c>
      <c r="B179" s="4">
        <v>45689</v>
      </c>
      <c r="C179" s="3" t="s">
        <v>61</v>
      </c>
      <c r="D179" s="3" t="s">
        <v>55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f t="shared" si="22"/>
        <v>7.86</v>
      </c>
      <c r="L179" s="3">
        <f t="shared" si="23"/>
        <v>0</v>
      </c>
      <c r="M179" s="3">
        <v>0</v>
      </c>
      <c r="N179" s="3">
        <v>4</v>
      </c>
      <c r="O179" s="3">
        <f t="shared" si="24"/>
        <v>4</v>
      </c>
      <c r="P179" s="3">
        <f t="shared" si="25"/>
        <v>0</v>
      </c>
      <c r="Q179" s="3">
        <v>783582</v>
      </c>
      <c r="R179" s="3">
        <v>130670.93</v>
      </c>
      <c r="S179" s="3">
        <f t="shared" si="26"/>
        <v>0</v>
      </c>
      <c r="T179" s="3">
        <f t="shared" si="27"/>
        <v>0</v>
      </c>
      <c r="U179" s="3">
        <f t="shared" si="28"/>
        <v>0</v>
      </c>
      <c r="V179" s="3">
        <f t="shared" si="29"/>
        <v>0</v>
      </c>
      <c r="W179" s="3">
        <f t="shared" si="30"/>
        <v>0</v>
      </c>
      <c r="X179" s="3">
        <f t="shared" si="31"/>
        <v>1</v>
      </c>
      <c r="Y179" s="3">
        <f t="shared" si="32"/>
        <v>0</v>
      </c>
    </row>
    <row r="180" spans="1:25" ht="14.45">
      <c r="A180" s="3" t="s">
        <v>100</v>
      </c>
      <c r="B180" s="4">
        <v>45717</v>
      </c>
      <c r="C180" s="3" t="s">
        <v>61</v>
      </c>
      <c r="D180" s="3" t="s">
        <v>55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f t="shared" si="22"/>
        <v>0.3</v>
      </c>
      <c r="L180" s="3">
        <f t="shared" si="23"/>
        <v>0</v>
      </c>
      <c r="M180" s="3">
        <v>0</v>
      </c>
      <c r="N180" s="3">
        <v>4.0999999999999996</v>
      </c>
      <c r="O180" s="3">
        <f t="shared" si="24"/>
        <v>4.0999999999999996</v>
      </c>
      <c r="P180" s="3">
        <f t="shared" si="25"/>
        <v>0</v>
      </c>
      <c r="Q180" s="3">
        <v>781955.52</v>
      </c>
      <c r="R180" s="3">
        <v>152578.71</v>
      </c>
      <c r="S180" s="3">
        <f t="shared" si="26"/>
        <v>0</v>
      </c>
      <c r="T180" s="3">
        <f t="shared" si="27"/>
        <v>0</v>
      </c>
      <c r="U180" s="3">
        <f t="shared" si="28"/>
        <v>0</v>
      </c>
      <c r="V180" s="3">
        <f t="shared" si="29"/>
        <v>0</v>
      </c>
      <c r="W180" s="3">
        <f t="shared" si="30"/>
        <v>0</v>
      </c>
      <c r="X180" s="3">
        <f t="shared" si="31"/>
        <v>1</v>
      </c>
      <c r="Y180" s="3">
        <f t="shared" si="32"/>
        <v>0</v>
      </c>
    </row>
    <row r="181" spans="1:25" ht="14.45">
      <c r="A181" s="3" t="s">
        <v>100</v>
      </c>
      <c r="B181" s="4">
        <v>45748</v>
      </c>
      <c r="C181" s="3" t="s">
        <v>61</v>
      </c>
      <c r="D181" s="3" t="s">
        <v>55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f t="shared" si="22"/>
        <v>8.44</v>
      </c>
      <c r="L181" s="3">
        <f t="shared" si="23"/>
        <v>0</v>
      </c>
      <c r="M181" s="3">
        <v>0</v>
      </c>
      <c r="N181" s="3">
        <v>4.0999999999999996</v>
      </c>
      <c r="O181" s="3">
        <f t="shared" si="24"/>
        <v>4.0999999999999996</v>
      </c>
      <c r="P181" s="3">
        <f t="shared" si="25"/>
        <v>0</v>
      </c>
      <c r="Q181" s="3">
        <v>898031.04</v>
      </c>
      <c r="R181" s="3">
        <v>138666.5</v>
      </c>
      <c r="S181" s="3">
        <f t="shared" si="26"/>
        <v>0</v>
      </c>
      <c r="T181" s="3">
        <f t="shared" si="27"/>
        <v>0</v>
      </c>
      <c r="U181" s="3">
        <f t="shared" si="28"/>
        <v>0</v>
      </c>
      <c r="V181" s="3">
        <f t="shared" si="29"/>
        <v>0</v>
      </c>
      <c r="W181" s="3">
        <f t="shared" si="30"/>
        <v>0</v>
      </c>
      <c r="X181" s="3">
        <f t="shared" si="31"/>
        <v>1</v>
      </c>
      <c r="Y181" s="3">
        <f t="shared" si="32"/>
        <v>0</v>
      </c>
    </row>
    <row r="182" spans="1:25" ht="14.45">
      <c r="A182" s="3" t="s">
        <v>101</v>
      </c>
      <c r="B182" s="4">
        <v>45658</v>
      </c>
      <c r="C182" s="3" t="s">
        <v>61</v>
      </c>
      <c r="D182" s="3" t="s">
        <v>50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f t="shared" si="22"/>
        <v>5.27</v>
      </c>
      <c r="L182" s="3">
        <f t="shared" si="23"/>
        <v>0</v>
      </c>
      <c r="M182" s="3">
        <v>1</v>
      </c>
      <c r="N182" s="3">
        <v>3.9</v>
      </c>
      <c r="O182" s="3">
        <f t="shared" si="24"/>
        <v>3.9</v>
      </c>
      <c r="P182" s="3">
        <f t="shared" si="25"/>
        <v>0</v>
      </c>
      <c r="Q182" s="3">
        <v>855341.28</v>
      </c>
      <c r="R182" s="3">
        <v>175823.8</v>
      </c>
      <c r="S182" s="3">
        <f t="shared" si="26"/>
        <v>0</v>
      </c>
      <c r="T182" s="3">
        <f t="shared" si="27"/>
        <v>0</v>
      </c>
      <c r="U182" s="3">
        <f t="shared" si="28"/>
        <v>1</v>
      </c>
      <c r="V182" s="3">
        <f t="shared" si="29"/>
        <v>0</v>
      </c>
      <c r="W182" s="3">
        <f t="shared" si="30"/>
        <v>0</v>
      </c>
      <c r="X182" s="3">
        <f t="shared" si="31"/>
        <v>1</v>
      </c>
      <c r="Y182" s="3">
        <f t="shared" si="32"/>
        <v>0</v>
      </c>
    </row>
    <row r="183" spans="1:25" ht="14.45">
      <c r="A183" s="3" t="s">
        <v>101</v>
      </c>
      <c r="B183" s="4">
        <v>45689</v>
      </c>
      <c r="C183" s="3" t="s">
        <v>61</v>
      </c>
      <c r="D183" s="3" t="s">
        <v>50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f t="shared" si="22"/>
        <v>13.22</v>
      </c>
      <c r="L183" s="3">
        <f t="shared" si="23"/>
        <v>0</v>
      </c>
      <c r="M183" s="3">
        <v>0</v>
      </c>
      <c r="N183" s="3">
        <v>3.6</v>
      </c>
      <c r="O183" s="3">
        <f t="shared" si="24"/>
        <v>3.6</v>
      </c>
      <c r="P183" s="3">
        <f t="shared" si="25"/>
        <v>0</v>
      </c>
      <c r="Q183" s="3">
        <v>751393.88</v>
      </c>
      <c r="R183" s="3">
        <v>91480.320000000007</v>
      </c>
      <c r="S183" s="3">
        <f t="shared" si="26"/>
        <v>0</v>
      </c>
      <c r="T183" s="3">
        <f t="shared" si="27"/>
        <v>0</v>
      </c>
      <c r="U183" s="3">
        <f t="shared" si="28"/>
        <v>1</v>
      </c>
      <c r="V183" s="3">
        <f t="shared" si="29"/>
        <v>0</v>
      </c>
      <c r="W183" s="3">
        <f t="shared" si="30"/>
        <v>0</v>
      </c>
      <c r="X183" s="3">
        <f t="shared" si="31"/>
        <v>1</v>
      </c>
      <c r="Y183" s="3">
        <f t="shared" si="32"/>
        <v>0</v>
      </c>
    </row>
    <row r="184" spans="1:25" ht="14.45">
      <c r="A184" s="3" t="s">
        <v>101</v>
      </c>
      <c r="B184" s="4">
        <v>45717</v>
      </c>
      <c r="C184" s="3" t="s">
        <v>61</v>
      </c>
      <c r="D184" s="3" t="s">
        <v>50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f t="shared" si="22"/>
        <v>1.02</v>
      </c>
      <c r="L184" s="3">
        <f t="shared" si="23"/>
        <v>0</v>
      </c>
      <c r="M184" s="3">
        <v>1</v>
      </c>
      <c r="N184" s="3">
        <v>3.8</v>
      </c>
      <c r="O184" s="3">
        <f t="shared" si="24"/>
        <v>3.8</v>
      </c>
      <c r="P184" s="3">
        <f t="shared" si="25"/>
        <v>0</v>
      </c>
      <c r="Q184" s="3">
        <v>761077.08</v>
      </c>
      <c r="R184" s="3">
        <v>113605.93</v>
      </c>
      <c r="S184" s="3">
        <f t="shared" si="26"/>
        <v>0</v>
      </c>
      <c r="T184" s="3">
        <f t="shared" si="27"/>
        <v>0</v>
      </c>
      <c r="U184" s="3">
        <f t="shared" si="28"/>
        <v>1</v>
      </c>
      <c r="V184" s="3">
        <f t="shared" si="29"/>
        <v>0</v>
      </c>
      <c r="W184" s="3">
        <f t="shared" si="30"/>
        <v>0</v>
      </c>
      <c r="X184" s="3">
        <f t="shared" si="31"/>
        <v>1</v>
      </c>
      <c r="Y184" s="3">
        <f t="shared" si="32"/>
        <v>0</v>
      </c>
    </row>
    <row r="185" spans="1:25" ht="14.45">
      <c r="A185" s="3" t="s">
        <v>101</v>
      </c>
      <c r="B185" s="4">
        <v>45748</v>
      </c>
      <c r="C185" s="3" t="s">
        <v>61</v>
      </c>
      <c r="D185" s="3" t="s">
        <v>50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f t="shared" si="22"/>
        <v>4.03</v>
      </c>
      <c r="L185" s="3">
        <f t="shared" si="23"/>
        <v>0</v>
      </c>
      <c r="M185" s="3">
        <v>0</v>
      </c>
      <c r="N185" s="3">
        <v>3.1</v>
      </c>
      <c r="O185" s="3">
        <f t="shared" si="24"/>
        <v>3.1</v>
      </c>
      <c r="P185" s="3">
        <f t="shared" si="25"/>
        <v>0</v>
      </c>
      <c r="Q185" s="3">
        <v>819660.59</v>
      </c>
      <c r="R185" s="3">
        <v>172699.95</v>
      </c>
      <c r="S185" s="3">
        <f t="shared" si="26"/>
        <v>0</v>
      </c>
      <c r="T185" s="3">
        <f t="shared" si="27"/>
        <v>0</v>
      </c>
      <c r="U185" s="3">
        <f t="shared" si="28"/>
        <v>1</v>
      </c>
      <c r="V185" s="3">
        <f t="shared" si="29"/>
        <v>0</v>
      </c>
      <c r="W185" s="3">
        <f t="shared" si="30"/>
        <v>0</v>
      </c>
      <c r="X185" s="3">
        <f t="shared" si="31"/>
        <v>1</v>
      </c>
      <c r="Y185" s="3">
        <f t="shared" si="32"/>
        <v>0</v>
      </c>
    </row>
    <row r="186" spans="1:25" ht="14.45">
      <c r="A186" s="3" t="s">
        <v>102</v>
      </c>
      <c r="B186" s="4">
        <v>45658</v>
      </c>
      <c r="C186" s="3" t="s">
        <v>54</v>
      </c>
      <c r="D186" s="3" t="s">
        <v>52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f t="shared" si="22"/>
        <v>2.34</v>
      </c>
      <c r="L186" s="3">
        <f t="shared" si="23"/>
        <v>0</v>
      </c>
      <c r="M186" s="3">
        <v>0</v>
      </c>
      <c r="N186" s="3">
        <v>4.4000000000000004</v>
      </c>
      <c r="O186" s="3">
        <f t="shared" si="24"/>
        <v>4.4000000000000004</v>
      </c>
      <c r="P186" s="3">
        <f t="shared" si="25"/>
        <v>0</v>
      </c>
      <c r="Q186" s="3">
        <v>681855.56</v>
      </c>
      <c r="R186" s="3">
        <v>117645.61</v>
      </c>
      <c r="S186" s="3">
        <f t="shared" si="26"/>
        <v>1</v>
      </c>
      <c r="T186" s="3">
        <f t="shared" si="27"/>
        <v>0</v>
      </c>
      <c r="U186" s="3">
        <f t="shared" si="28"/>
        <v>0</v>
      </c>
      <c r="V186" s="3">
        <f t="shared" si="29"/>
        <v>1</v>
      </c>
      <c r="W186" s="3">
        <f t="shared" si="30"/>
        <v>0</v>
      </c>
      <c r="X186" s="3">
        <f t="shared" si="31"/>
        <v>0</v>
      </c>
      <c r="Y186" s="3">
        <f t="shared" si="32"/>
        <v>0</v>
      </c>
    </row>
    <row r="187" spans="1:25" ht="14.45">
      <c r="A187" s="3" t="s">
        <v>102</v>
      </c>
      <c r="B187" s="4">
        <v>45689</v>
      </c>
      <c r="C187" s="3" t="s">
        <v>54</v>
      </c>
      <c r="D187" s="3" t="s">
        <v>52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f t="shared" si="22"/>
        <v>8.51</v>
      </c>
      <c r="L187" s="3">
        <f t="shared" si="23"/>
        <v>0</v>
      </c>
      <c r="M187" s="3">
        <v>0</v>
      </c>
      <c r="N187" s="3">
        <v>4.4000000000000004</v>
      </c>
      <c r="O187" s="3">
        <f t="shared" si="24"/>
        <v>4.4000000000000004</v>
      </c>
      <c r="P187" s="3">
        <f t="shared" si="25"/>
        <v>0</v>
      </c>
      <c r="Q187" s="3">
        <v>678311.17</v>
      </c>
      <c r="R187" s="3">
        <v>132029.76000000001</v>
      </c>
      <c r="S187" s="3">
        <f t="shared" si="26"/>
        <v>1</v>
      </c>
      <c r="T187" s="3">
        <f t="shared" si="27"/>
        <v>0</v>
      </c>
      <c r="U187" s="3">
        <f t="shared" si="28"/>
        <v>0</v>
      </c>
      <c r="V187" s="3">
        <f t="shared" si="29"/>
        <v>1</v>
      </c>
      <c r="W187" s="3">
        <f t="shared" si="30"/>
        <v>0</v>
      </c>
      <c r="X187" s="3">
        <f t="shared" si="31"/>
        <v>0</v>
      </c>
      <c r="Y187" s="3">
        <f t="shared" si="32"/>
        <v>0</v>
      </c>
    </row>
    <row r="188" spans="1:25" ht="14.45">
      <c r="A188" s="3" t="s">
        <v>102</v>
      </c>
      <c r="B188" s="4">
        <v>45717</v>
      </c>
      <c r="C188" s="3" t="s">
        <v>54</v>
      </c>
      <c r="D188" s="3" t="s">
        <v>52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f t="shared" si="22"/>
        <v>0.48</v>
      </c>
      <c r="L188" s="3">
        <f t="shared" si="23"/>
        <v>0</v>
      </c>
      <c r="M188" s="3">
        <v>1</v>
      </c>
      <c r="N188" s="3">
        <v>4.3</v>
      </c>
      <c r="O188" s="3">
        <f t="shared" si="24"/>
        <v>4.3</v>
      </c>
      <c r="P188" s="3">
        <f t="shared" si="25"/>
        <v>0</v>
      </c>
      <c r="Q188" s="3">
        <v>765906.95</v>
      </c>
      <c r="R188" s="3">
        <v>114005.9</v>
      </c>
      <c r="S188" s="3">
        <f t="shared" si="26"/>
        <v>1</v>
      </c>
      <c r="T188" s="3">
        <f t="shared" si="27"/>
        <v>0</v>
      </c>
      <c r="U188" s="3">
        <f t="shared" si="28"/>
        <v>0</v>
      </c>
      <c r="V188" s="3">
        <f t="shared" si="29"/>
        <v>1</v>
      </c>
      <c r="W188" s="3">
        <f t="shared" si="30"/>
        <v>0</v>
      </c>
      <c r="X188" s="3">
        <f t="shared" si="31"/>
        <v>0</v>
      </c>
      <c r="Y188" s="3">
        <f t="shared" si="32"/>
        <v>0</v>
      </c>
    </row>
    <row r="189" spans="1:25" ht="14.45">
      <c r="A189" s="3" t="s">
        <v>102</v>
      </c>
      <c r="B189" s="4">
        <v>45748</v>
      </c>
      <c r="C189" s="3" t="s">
        <v>54</v>
      </c>
      <c r="D189" s="3" t="s">
        <v>52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f t="shared" si="22"/>
        <v>13.62</v>
      </c>
      <c r="L189" s="3">
        <f t="shared" si="23"/>
        <v>0</v>
      </c>
      <c r="M189" s="3">
        <v>0</v>
      </c>
      <c r="N189" s="3">
        <v>4.2</v>
      </c>
      <c r="O189" s="3">
        <f t="shared" si="24"/>
        <v>4.2</v>
      </c>
      <c r="P189" s="3">
        <f t="shared" si="25"/>
        <v>0</v>
      </c>
      <c r="Q189" s="3">
        <v>712546.38</v>
      </c>
      <c r="R189" s="3">
        <v>101480.04</v>
      </c>
      <c r="S189" s="3">
        <f t="shared" si="26"/>
        <v>1</v>
      </c>
      <c r="T189" s="3">
        <f t="shared" si="27"/>
        <v>0</v>
      </c>
      <c r="U189" s="3">
        <f t="shared" si="28"/>
        <v>0</v>
      </c>
      <c r="V189" s="3">
        <f t="shared" si="29"/>
        <v>1</v>
      </c>
      <c r="W189" s="3">
        <f t="shared" si="30"/>
        <v>0</v>
      </c>
      <c r="X189" s="3">
        <f t="shared" si="31"/>
        <v>0</v>
      </c>
      <c r="Y189" s="3">
        <f t="shared" si="32"/>
        <v>0</v>
      </c>
    </row>
    <row r="190" spans="1:25" ht="14.45">
      <c r="A190" s="3" t="s">
        <v>103</v>
      </c>
      <c r="B190" s="4">
        <v>45658</v>
      </c>
      <c r="C190" s="3" t="s">
        <v>49</v>
      </c>
      <c r="D190" s="3" t="s">
        <v>52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f t="shared" si="22"/>
        <v>7.77</v>
      </c>
      <c r="L190" s="3">
        <f t="shared" si="23"/>
        <v>0</v>
      </c>
      <c r="M190" s="3">
        <v>0</v>
      </c>
      <c r="N190" s="3">
        <v>4.0999999999999996</v>
      </c>
      <c r="O190" s="3">
        <f t="shared" si="24"/>
        <v>4.0999999999999996</v>
      </c>
      <c r="P190" s="3">
        <f t="shared" si="25"/>
        <v>0</v>
      </c>
      <c r="Q190" s="3">
        <v>625993.82999999996</v>
      </c>
      <c r="R190" s="3">
        <v>98960.320000000007</v>
      </c>
      <c r="S190" s="3">
        <f t="shared" si="26"/>
        <v>1</v>
      </c>
      <c r="T190" s="3">
        <f t="shared" si="27"/>
        <v>0</v>
      </c>
      <c r="U190" s="3">
        <f t="shared" si="28"/>
        <v>0</v>
      </c>
      <c r="V190" s="3">
        <f t="shared" si="29"/>
        <v>0</v>
      </c>
      <c r="W190" s="3">
        <f t="shared" si="30"/>
        <v>0</v>
      </c>
      <c r="X190" s="3">
        <f t="shared" si="31"/>
        <v>0</v>
      </c>
      <c r="Y190" s="3">
        <f t="shared" si="32"/>
        <v>1</v>
      </c>
    </row>
    <row r="191" spans="1:25" ht="14.45">
      <c r="A191" s="3" t="s">
        <v>103</v>
      </c>
      <c r="B191" s="4">
        <v>45689</v>
      </c>
      <c r="C191" s="3" t="s">
        <v>49</v>
      </c>
      <c r="D191" s="3" t="s">
        <v>52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f t="shared" si="22"/>
        <v>1.99</v>
      </c>
      <c r="L191" s="3">
        <f t="shared" si="23"/>
        <v>0</v>
      </c>
      <c r="M191" s="3">
        <v>0</v>
      </c>
      <c r="N191" s="3">
        <v>3.8</v>
      </c>
      <c r="O191" s="3">
        <f t="shared" si="24"/>
        <v>3.8</v>
      </c>
      <c r="P191" s="3">
        <f t="shared" si="25"/>
        <v>0</v>
      </c>
      <c r="Q191" s="3">
        <v>550962.93000000005</v>
      </c>
      <c r="R191" s="3">
        <v>97144.58</v>
      </c>
      <c r="S191" s="3">
        <f t="shared" si="26"/>
        <v>1</v>
      </c>
      <c r="T191" s="3">
        <f t="shared" si="27"/>
        <v>0</v>
      </c>
      <c r="U191" s="3">
        <f t="shared" si="28"/>
        <v>0</v>
      </c>
      <c r="V191" s="3">
        <f t="shared" si="29"/>
        <v>0</v>
      </c>
      <c r="W191" s="3">
        <f t="shared" si="30"/>
        <v>0</v>
      </c>
      <c r="X191" s="3">
        <f t="shared" si="31"/>
        <v>0</v>
      </c>
      <c r="Y191" s="3">
        <f t="shared" si="32"/>
        <v>1</v>
      </c>
    </row>
    <row r="192" spans="1:25" ht="14.45">
      <c r="A192" s="3" t="s">
        <v>103</v>
      </c>
      <c r="B192" s="4">
        <v>45717</v>
      </c>
      <c r="C192" s="3" t="s">
        <v>49</v>
      </c>
      <c r="D192" s="3" t="s">
        <v>52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f t="shared" si="22"/>
        <v>4.7699999999999996</v>
      </c>
      <c r="L192" s="3">
        <f t="shared" si="23"/>
        <v>0</v>
      </c>
      <c r="M192" s="3">
        <v>0</v>
      </c>
      <c r="N192" s="3">
        <v>3.8</v>
      </c>
      <c r="O192" s="3">
        <f t="shared" si="24"/>
        <v>3.8</v>
      </c>
      <c r="P192" s="3">
        <f t="shared" si="25"/>
        <v>0</v>
      </c>
      <c r="Q192" s="3">
        <v>443275.59</v>
      </c>
      <c r="R192" s="3">
        <v>53544.36</v>
      </c>
      <c r="S192" s="3">
        <f t="shared" si="26"/>
        <v>1</v>
      </c>
      <c r="T192" s="3">
        <f t="shared" si="27"/>
        <v>0</v>
      </c>
      <c r="U192" s="3">
        <f t="shared" si="28"/>
        <v>0</v>
      </c>
      <c r="V192" s="3">
        <f t="shared" si="29"/>
        <v>0</v>
      </c>
      <c r="W192" s="3">
        <f t="shared" si="30"/>
        <v>0</v>
      </c>
      <c r="X192" s="3">
        <f t="shared" si="31"/>
        <v>0</v>
      </c>
      <c r="Y192" s="3">
        <f t="shared" si="32"/>
        <v>1</v>
      </c>
    </row>
    <row r="193" spans="1:25" ht="14.45">
      <c r="A193" s="3" t="s">
        <v>103</v>
      </c>
      <c r="B193" s="4">
        <v>45748</v>
      </c>
      <c r="C193" s="3" t="s">
        <v>49</v>
      </c>
      <c r="D193" s="3" t="s">
        <v>52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f t="shared" si="22"/>
        <v>0.2</v>
      </c>
      <c r="L193" s="3">
        <f t="shared" si="23"/>
        <v>0</v>
      </c>
      <c r="M193" s="3">
        <v>0</v>
      </c>
      <c r="N193" s="3">
        <v>4.4000000000000004</v>
      </c>
      <c r="O193" s="3">
        <f t="shared" si="24"/>
        <v>4.4000000000000004</v>
      </c>
      <c r="P193" s="3">
        <f t="shared" si="25"/>
        <v>0</v>
      </c>
      <c r="Q193" s="3">
        <v>554012.06999999995</v>
      </c>
      <c r="R193" s="3">
        <v>81101.62</v>
      </c>
      <c r="S193" s="3">
        <f t="shared" si="26"/>
        <v>1</v>
      </c>
      <c r="T193" s="3">
        <f t="shared" si="27"/>
        <v>0</v>
      </c>
      <c r="U193" s="3">
        <f t="shared" si="28"/>
        <v>0</v>
      </c>
      <c r="V193" s="3">
        <f t="shared" si="29"/>
        <v>0</v>
      </c>
      <c r="W193" s="3">
        <f t="shared" si="30"/>
        <v>0</v>
      </c>
      <c r="X193" s="3">
        <f t="shared" si="31"/>
        <v>0</v>
      </c>
      <c r="Y193" s="3">
        <f t="shared" si="32"/>
        <v>1</v>
      </c>
    </row>
    <row r="194" spans="1:25" ht="14.45">
      <c r="A194" s="3" t="s">
        <v>104</v>
      </c>
      <c r="B194" s="4">
        <v>45658</v>
      </c>
      <c r="C194" s="3" t="s">
        <v>61</v>
      </c>
      <c r="D194" s="3" t="s">
        <v>50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f t="shared" si="22"/>
        <v>0.53</v>
      </c>
      <c r="L194" s="3">
        <f t="shared" si="23"/>
        <v>0</v>
      </c>
      <c r="M194" s="3">
        <v>0</v>
      </c>
      <c r="N194" s="3">
        <v>3.2</v>
      </c>
      <c r="O194" s="3">
        <f t="shared" si="24"/>
        <v>3.2</v>
      </c>
      <c r="P194" s="3">
        <f t="shared" si="25"/>
        <v>0</v>
      </c>
      <c r="Q194" s="3">
        <v>643428.85</v>
      </c>
      <c r="R194" s="3">
        <v>94477.63</v>
      </c>
      <c r="S194" s="3">
        <f t="shared" si="26"/>
        <v>0</v>
      </c>
      <c r="T194" s="3">
        <f t="shared" si="27"/>
        <v>0</v>
      </c>
      <c r="U194" s="3">
        <f t="shared" si="28"/>
        <v>1</v>
      </c>
      <c r="V194" s="3">
        <f t="shared" si="29"/>
        <v>0</v>
      </c>
      <c r="W194" s="3">
        <f t="shared" si="30"/>
        <v>0</v>
      </c>
      <c r="X194" s="3">
        <f t="shared" si="31"/>
        <v>1</v>
      </c>
      <c r="Y194" s="3">
        <f t="shared" si="32"/>
        <v>0</v>
      </c>
    </row>
    <row r="195" spans="1:25" ht="14.45">
      <c r="A195" s="3" t="s">
        <v>104</v>
      </c>
      <c r="B195" s="4">
        <v>45689</v>
      </c>
      <c r="C195" s="3" t="s">
        <v>61</v>
      </c>
      <c r="D195" s="3" t="s">
        <v>50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f t="shared" ref="K195:K258" si="33">IF(ISBLANK(J195),MEDIAN($J$2:$J$321),J195)</f>
        <v>1.54</v>
      </c>
      <c r="L195" s="3">
        <f t="shared" ref="L195:L258" si="34">IF(ISBLANK(J195),1,0)</f>
        <v>0</v>
      </c>
      <c r="M195" s="3">
        <v>0</v>
      </c>
      <c r="N195" s="3">
        <v>3.2</v>
      </c>
      <c r="O195" s="3">
        <f t="shared" ref="O195:O258" si="35">IF(ISBLANK(N195),MEDIAN($N$2:$N$321),N195)</f>
        <v>3.2</v>
      </c>
      <c r="P195" s="3">
        <f t="shared" ref="P195:P258" si="36">IF(ISBLANK(N195),1,0)</f>
        <v>0</v>
      </c>
      <c r="Q195" s="3">
        <v>611924.27</v>
      </c>
      <c r="R195" s="3">
        <v>115488.75</v>
      </c>
      <c r="S195" s="3">
        <f t="shared" ref="S195:S258" si="37">IF(D195="High Street",1,0)</f>
        <v>0</v>
      </c>
      <c r="T195" s="3">
        <f t="shared" ref="T195:T258" si="38">IF(D195="Mall",1,0)</f>
        <v>0</v>
      </c>
      <c r="U195" s="3">
        <f t="shared" ref="U195:U258" si="39">IF(D195="Residential",1,0)</f>
        <v>1</v>
      </c>
      <c r="V195" s="3">
        <f t="shared" ref="V195:V258" si="40">IF(C195="North",1,0)</f>
        <v>0</v>
      </c>
      <c r="W195" s="3">
        <f t="shared" ref="W195:W258" si="41">IF(C195="South",1,0)</f>
        <v>0</v>
      </c>
      <c r="X195" s="3">
        <f t="shared" ref="X195:X258" si="42">IF(C195="West",1,0)</f>
        <v>1</v>
      </c>
      <c r="Y195" s="3">
        <f t="shared" ref="Y195:Y258" si="43">IF(C195="East",1,0)</f>
        <v>0</v>
      </c>
    </row>
    <row r="196" spans="1:25" ht="14.45">
      <c r="A196" s="3" t="s">
        <v>104</v>
      </c>
      <c r="B196" s="4">
        <v>45717</v>
      </c>
      <c r="C196" s="3" t="s">
        <v>61</v>
      </c>
      <c r="D196" s="3" t="s">
        <v>50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f t="shared" si="33"/>
        <v>3.63</v>
      </c>
      <c r="L196" s="3">
        <f t="shared" si="34"/>
        <v>0</v>
      </c>
      <c r="M196" s="3">
        <v>0</v>
      </c>
      <c r="N196" s="3">
        <v>3.7</v>
      </c>
      <c r="O196" s="3">
        <f t="shared" si="35"/>
        <v>3.7</v>
      </c>
      <c r="P196" s="3">
        <f t="shared" si="36"/>
        <v>0</v>
      </c>
      <c r="Q196" s="3">
        <v>559422.02</v>
      </c>
      <c r="R196" s="3">
        <v>73528.740000000005</v>
      </c>
      <c r="S196" s="3">
        <f t="shared" si="37"/>
        <v>0</v>
      </c>
      <c r="T196" s="3">
        <f t="shared" si="38"/>
        <v>0</v>
      </c>
      <c r="U196" s="3">
        <f t="shared" si="39"/>
        <v>1</v>
      </c>
      <c r="V196" s="3">
        <f t="shared" si="40"/>
        <v>0</v>
      </c>
      <c r="W196" s="3">
        <f t="shared" si="41"/>
        <v>0</v>
      </c>
      <c r="X196" s="3">
        <f t="shared" si="42"/>
        <v>1</v>
      </c>
      <c r="Y196" s="3">
        <f t="shared" si="43"/>
        <v>0</v>
      </c>
    </row>
    <row r="197" spans="1:25" ht="14.45">
      <c r="A197" s="3" t="s">
        <v>104</v>
      </c>
      <c r="B197" s="4">
        <v>45748</v>
      </c>
      <c r="C197" s="3" t="s">
        <v>61</v>
      </c>
      <c r="D197" s="3" t="s">
        <v>50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f t="shared" si="33"/>
        <v>13.48</v>
      </c>
      <c r="L197" s="3">
        <f t="shared" si="34"/>
        <v>0</v>
      </c>
      <c r="M197" s="3">
        <v>0</v>
      </c>
      <c r="N197" s="3"/>
      <c r="O197" s="3">
        <f t="shared" si="35"/>
        <v>3.9</v>
      </c>
      <c r="P197" s="3">
        <f t="shared" si="36"/>
        <v>1</v>
      </c>
      <c r="Q197" s="3">
        <v>449465.06</v>
      </c>
      <c r="R197" s="3">
        <v>65694.78</v>
      </c>
      <c r="S197" s="3">
        <f t="shared" si="37"/>
        <v>0</v>
      </c>
      <c r="T197" s="3">
        <f t="shared" si="38"/>
        <v>0</v>
      </c>
      <c r="U197" s="3">
        <f t="shared" si="39"/>
        <v>1</v>
      </c>
      <c r="V197" s="3">
        <f t="shared" si="40"/>
        <v>0</v>
      </c>
      <c r="W197" s="3">
        <f t="shared" si="41"/>
        <v>0</v>
      </c>
      <c r="X197" s="3">
        <f t="shared" si="42"/>
        <v>1</v>
      </c>
      <c r="Y197" s="3">
        <f t="shared" si="43"/>
        <v>0</v>
      </c>
    </row>
    <row r="198" spans="1:25" ht="14.45">
      <c r="A198" s="3" t="s">
        <v>105</v>
      </c>
      <c r="B198" s="4">
        <v>45658</v>
      </c>
      <c r="C198" s="3" t="s">
        <v>54</v>
      </c>
      <c r="D198" s="3" t="s">
        <v>50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f t="shared" si="33"/>
        <v>0.2</v>
      </c>
      <c r="L198" s="3">
        <f t="shared" si="34"/>
        <v>0</v>
      </c>
      <c r="M198" s="3">
        <v>0</v>
      </c>
      <c r="N198" s="3">
        <v>4.2</v>
      </c>
      <c r="O198" s="3">
        <f t="shared" si="35"/>
        <v>4.2</v>
      </c>
      <c r="P198" s="3">
        <f t="shared" si="36"/>
        <v>0</v>
      </c>
      <c r="Q198" s="3">
        <v>691447.43</v>
      </c>
      <c r="R198" s="3">
        <v>114077.69</v>
      </c>
      <c r="S198" s="3">
        <f t="shared" si="37"/>
        <v>0</v>
      </c>
      <c r="T198" s="3">
        <f t="shared" si="38"/>
        <v>0</v>
      </c>
      <c r="U198" s="3">
        <f t="shared" si="39"/>
        <v>1</v>
      </c>
      <c r="V198" s="3">
        <f t="shared" si="40"/>
        <v>1</v>
      </c>
      <c r="W198" s="3">
        <f t="shared" si="41"/>
        <v>0</v>
      </c>
      <c r="X198" s="3">
        <f t="shared" si="42"/>
        <v>0</v>
      </c>
      <c r="Y198" s="3">
        <f t="shared" si="43"/>
        <v>0</v>
      </c>
    </row>
    <row r="199" spans="1:25" ht="14.45">
      <c r="A199" s="3" t="s">
        <v>105</v>
      </c>
      <c r="B199" s="4">
        <v>45689</v>
      </c>
      <c r="C199" s="3" t="s">
        <v>54</v>
      </c>
      <c r="D199" s="3" t="s">
        <v>50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f t="shared" si="33"/>
        <v>12.82</v>
      </c>
      <c r="L199" s="3">
        <f t="shared" si="34"/>
        <v>0</v>
      </c>
      <c r="M199" s="3">
        <v>0</v>
      </c>
      <c r="N199" s="3">
        <v>4.5999999999999996</v>
      </c>
      <c r="O199" s="3">
        <f t="shared" si="35"/>
        <v>4.5999999999999996</v>
      </c>
      <c r="P199" s="3">
        <f t="shared" si="36"/>
        <v>0</v>
      </c>
      <c r="Q199" s="3">
        <v>574066.61</v>
      </c>
      <c r="R199" s="3">
        <v>124674.67</v>
      </c>
      <c r="S199" s="3">
        <f t="shared" si="37"/>
        <v>0</v>
      </c>
      <c r="T199" s="3">
        <f t="shared" si="38"/>
        <v>0</v>
      </c>
      <c r="U199" s="3">
        <f t="shared" si="39"/>
        <v>1</v>
      </c>
      <c r="V199" s="3">
        <f t="shared" si="40"/>
        <v>1</v>
      </c>
      <c r="W199" s="3">
        <f t="shared" si="41"/>
        <v>0</v>
      </c>
      <c r="X199" s="3">
        <f t="shared" si="42"/>
        <v>0</v>
      </c>
      <c r="Y199" s="3">
        <f t="shared" si="43"/>
        <v>0</v>
      </c>
    </row>
    <row r="200" spans="1:25" ht="14.45">
      <c r="A200" s="3" t="s">
        <v>105</v>
      </c>
      <c r="B200" s="4">
        <v>45717</v>
      </c>
      <c r="C200" s="3" t="s">
        <v>54</v>
      </c>
      <c r="D200" s="3" t="s">
        <v>50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f t="shared" si="33"/>
        <v>2.2400000000000002</v>
      </c>
      <c r="L200" s="3">
        <f t="shared" si="34"/>
        <v>0</v>
      </c>
      <c r="M200" s="3">
        <v>1</v>
      </c>
      <c r="N200" s="3">
        <v>4.3</v>
      </c>
      <c r="O200" s="3">
        <f t="shared" si="35"/>
        <v>4.3</v>
      </c>
      <c r="P200" s="3">
        <f t="shared" si="36"/>
        <v>0</v>
      </c>
      <c r="Q200" s="3">
        <v>578949.84</v>
      </c>
      <c r="R200" s="3">
        <v>80253.649999999994</v>
      </c>
      <c r="S200" s="3">
        <f t="shared" si="37"/>
        <v>0</v>
      </c>
      <c r="T200" s="3">
        <f t="shared" si="38"/>
        <v>0</v>
      </c>
      <c r="U200" s="3">
        <f t="shared" si="39"/>
        <v>1</v>
      </c>
      <c r="V200" s="3">
        <f t="shared" si="40"/>
        <v>1</v>
      </c>
      <c r="W200" s="3">
        <f t="shared" si="41"/>
        <v>0</v>
      </c>
      <c r="X200" s="3">
        <f t="shared" si="42"/>
        <v>0</v>
      </c>
      <c r="Y200" s="3">
        <f t="shared" si="43"/>
        <v>0</v>
      </c>
    </row>
    <row r="201" spans="1:25" ht="14.45">
      <c r="A201" s="3" t="s">
        <v>105</v>
      </c>
      <c r="B201" s="4">
        <v>45748</v>
      </c>
      <c r="C201" s="3" t="s">
        <v>54</v>
      </c>
      <c r="D201" s="3" t="s">
        <v>50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f t="shared" si="33"/>
        <v>1.8</v>
      </c>
      <c r="L201" s="3">
        <f t="shared" si="34"/>
        <v>0</v>
      </c>
      <c r="M201" s="3">
        <v>0</v>
      </c>
      <c r="N201" s="3">
        <v>4.8</v>
      </c>
      <c r="O201" s="3">
        <f t="shared" si="35"/>
        <v>4.8</v>
      </c>
      <c r="P201" s="3">
        <f t="shared" si="36"/>
        <v>0</v>
      </c>
      <c r="Q201" s="3">
        <v>735786.64</v>
      </c>
      <c r="R201" s="3">
        <v>126540.66</v>
      </c>
      <c r="S201" s="3">
        <f t="shared" si="37"/>
        <v>0</v>
      </c>
      <c r="T201" s="3">
        <f t="shared" si="38"/>
        <v>0</v>
      </c>
      <c r="U201" s="3">
        <f t="shared" si="39"/>
        <v>1</v>
      </c>
      <c r="V201" s="3">
        <f t="shared" si="40"/>
        <v>1</v>
      </c>
      <c r="W201" s="3">
        <f t="shared" si="41"/>
        <v>0</v>
      </c>
      <c r="X201" s="3">
        <f t="shared" si="42"/>
        <v>0</v>
      </c>
      <c r="Y201" s="3">
        <f t="shared" si="43"/>
        <v>0</v>
      </c>
    </row>
    <row r="202" spans="1:25" ht="14.45">
      <c r="A202" s="3" t="s">
        <v>106</v>
      </c>
      <c r="B202" s="4">
        <v>45658</v>
      </c>
      <c r="C202" s="3" t="s">
        <v>49</v>
      </c>
      <c r="D202" s="3" t="s">
        <v>55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f t="shared" si="33"/>
        <v>0.41</v>
      </c>
      <c r="L202" s="3">
        <f t="shared" si="34"/>
        <v>0</v>
      </c>
      <c r="M202" s="3">
        <v>1</v>
      </c>
      <c r="N202" s="3">
        <v>4.5999999999999996</v>
      </c>
      <c r="O202" s="3">
        <f t="shared" si="35"/>
        <v>4.5999999999999996</v>
      </c>
      <c r="P202" s="3">
        <f t="shared" si="36"/>
        <v>0</v>
      </c>
      <c r="Q202" s="3">
        <v>598904.9</v>
      </c>
      <c r="R202" s="3">
        <v>72861</v>
      </c>
      <c r="S202" s="3">
        <f t="shared" si="37"/>
        <v>0</v>
      </c>
      <c r="T202" s="3">
        <f t="shared" si="38"/>
        <v>0</v>
      </c>
      <c r="U202" s="3">
        <f t="shared" si="39"/>
        <v>0</v>
      </c>
      <c r="V202" s="3">
        <f t="shared" si="40"/>
        <v>0</v>
      </c>
      <c r="W202" s="3">
        <f t="shared" si="41"/>
        <v>0</v>
      </c>
      <c r="X202" s="3">
        <f t="shared" si="42"/>
        <v>0</v>
      </c>
      <c r="Y202" s="3">
        <f t="shared" si="43"/>
        <v>1</v>
      </c>
    </row>
    <row r="203" spans="1:25" ht="14.45">
      <c r="A203" s="3" t="s">
        <v>106</v>
      </c>
      <c r="B203" s="4">
        <v>45689</v>
      </c>
      <c r="C203" s="3" t="s">
        <v>49</v>
      </c>
      <c r="D203" s="3" t="s">
        <v>55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f t="shared" si="33"/>
        <v>3.05</v>
      </c>
      <c r="L203" s="3">
        <f t="shared" si="34"/>
        <v>0</v>
      </c>
      <c r="M203" s="3">
        <v>0</v>
      </c>
      <c r="N203" s="3">
        <v>4.8</v>
      </c>
      <c r="O203" s="3">
        <f t="shared" si="35"/>
        <v>4.8</v>
      </c>
      <c r="P203" s="3">
        <f t="shared" si="36"/>
        <v>0</v>
      </c>
      <c r="Q203" s="3">
        <v>787715.51</v>
      </c>
      <c r="R203" s="3">
        <v>128969.62</v>
      </c>
      <c r="S203" s="3">
        <f t="shared" si="37"/>
        <v>0</v>
      </c>
      <c r="T203" s="3">
        <f t="shared" si="38"/>
        <v>0</v>
      </c>
      <c r="U203" s="3">
        <f t="shared" si="39"/>
        <v>0</v>
      </c>
      <c r="V203" s="3">
        <f t="shared" si="40"/>
        <v>0</v>
      </c>
      <c r="W203" s="3">
        <f t="shared" si="41"/>
        <v>0</v>
      </c>
      <c r="X203" s="3">
        <f t="shared" si="42"/>
        <v>0</v>
      </c>
      <c r="Y203" s="3">
        <f t="shared" si="43"/>
        <v>1</v>
      </c>
    </row>
    <row r="204" spans="1:25" ht="14.45">
      <c r="A204" s="3" t="s">
        <v>106</v>
      </c>
      <c r="B204" s="4">
        <v>45717</v>
      </c>
      <c r="C204" s="3" t="s">
        <v>49</v>
      </c>
      <c r="D204" s="3" t="s">
        <v>55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f t="shared" si="33"/>
        <v>8.44</v>
      </c>
      <c r="L204" s="3">
        <f t="shared" si="34"/>
        <v>0</v>
      </c>
      <c r="M204" s="3">
        <v>1</v>
      </c>
      <c r="N204" s="3">
        <v>5</v>
      </c>
      <c r="O204" s="3">
        <f t="shared" si="35"/>
        <v>5</v>
      </c>
      <c r="P204" s="3">
        <f t="shared" si="36"/>
        <v>0</v>
      </c>
      <c r="Q204" s="3">
        <v>607084.92000000004</v>
      </c>
      <c r="R204" s="3">
        <v>98558.49</v>
      </c>
      <c r="S204" s="3">
        <f t="shared" si="37"/>
        <v>0</v>
      </c>
      <c r="T204" s="3">
        <f t="shared" si="38"/>
        <v>0</v>
      </c>
      <c r="U204" s="3">
        <f t="shared" si="39"/>
        <v>0</v>
      </c>
      <c r="V204" s="3">
        <f t="shared" si="40"/>
        <v>0</v>
      </c>
      <c r="W204" s="3">
        <f t="shared" si="41"/>
        <v>0</v>
      </c>
      <c r="X204" s="3">
        <f t="shared" si="42"/>
        <v>0</v>
      </c>
      <c r="Y204" s="3">
        <f t="shared" si="43"/>
        <v>1</v>
      </c>
    </row>
    <row r="205" spans="1:25" ht="14.45">
      <c r="A205" s="3" t="s">
        <v>106</v>
      </c>
      <c r="B205" s="4">
        <v>45748</v>
      </c>
      <c r="C205" s="3" t="s">
        <v>49</v>
      </c>
      <c r="D205" s="3" t="s">
        <v>55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f t="shared" si="33"/>
        <v>0.78</v>
      </c>
      <c r="L205" s="3">
        <f t="shared" si="34"/>
        <v>0</v>
      </c>
      <c r="M205" s="3">
        <v>0</v>
      </c>
      <c r="N205" s="3">
        <v>4</v>
      </c>
      <c r="O205" s="3">
        <f t="shared" si="35"/>
        <v>4</v>
      </c>
      <c r="P205" s="3">
        <f t="shared" si="36"/>
        <v>0</v>
      </c>
      <c r="Q205" s="3">
        <v>650795.49</v>
      </c>
      <c r="R205" s="3">
        <v>103035.89</v>
      </c>
      <c r="S205" s="3">
        <f t="shared" si="37"/>
        <v>0</v>
      </c>
      <c r="T205" s="3">
        <f t="shared" si="38"/>
        <v>0</v>
      </c>
      <c r="U205" s="3">
        <f t="shared" si="39"/>
        <v>0</v>
      </c>
      <c r="V205" s="3">
        <f t="shared" si="40"/>
        <v>0</v>
      </c>
      <c r="W205" s="3">
        <f t="shared" si="41"/>
        <v>0</v>
      </c>
      <c r="X205" s="3">
        <f t="shared" si="42"/>
        <v>0</v>
      </c>
      <c r="Y205" s="3">
        <f t="shared" si="43"/>
        <v>1</v>
      </c>
    </row>
    <row r="206" spans="1:25" ht="14.45">
      <c r="A206" s="3" t="s">
        <v>107</v>
      </c>
      <c r="B206" s="4">
        <v>45658</v>
      </c>
      <c r="C206" s="3" t="s">
        <v>49</v>
      </c>
      <c r="D206" s="3" t="s">
        <v>62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f t="shared" si="33"/>
        <v>0.87</v>
      </c>
      <c r="L206" s="3">
        <f t="shared" si="34"/>
        <v>0</v>
      </c>
      <c r="M206" s="3">
        <v>0</v>
      </c>
      <c r="N206" s="3">
        <v>3.7</v>
      </c>
      <c r="O206" s="3">
        <f t="shared" si="35"/>
        <v>3.7</v>
      </c>
      <c r="P206" s="3">
        <f t="shared" si="36"/>
        <v>0</v>
      </c>
      <c r="Q206" s="3">
        <v>825060.52</v>
      </c>
      <c r="R206" s="3">
        <v>143613.15</v>
      </c>
      <c r="S206" s="3">
        <f t="shared" si="37"/>
        <v>0</v>
      </c>
      <c r="T206" s="3">
        <f t="shared" si="38"/>
        <v>1</v>
      </c>
      <c r="U206" s="3">
        <f t="shared" si="39"/>
        <v>0</v>
      </c>
      <c r="V206" s="3">
        <f t="shared" si="40"/>
        <v>0</v>
      </c>
      <c r="W206" s="3">
        <f t="shared" si="41"/>
        <v>0</v>
      </c>
      <c r="X206" s="3">
        <f t="shared" si="42"/>
        <v>0</v>
      </c>
      <c r="Y206" s="3">
        <f t="shared" si="43"/>
        <v>1</v>
      </c>
    </row>
    <row r="207" spans="1:25" ht="14.45">
      <c r="A207" s="3" t="s">
        <v>107</v>
      </c>
      <c r="B207" s="4">
        <v>45689</v>
      </c>
      <c r="C207" s="3" t="s">
        <v>49</v>
      </c>
      <c r="D207" s="3" t="s">
        <v>62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f t="shared" si="33"/>
        <v>0.95</v>
      </c>
      <c r="L207" s="3">
        <f t="shared" si="34"/>
        <v>0</v>
      </c>
      <c r="M207" s="3">
        <v>0</v>
      </c>
      <c r="N207" s="3">
        <v>3.7</v>
      </c>
      <c r="O207" s="3">
        <f t="shared" si="35"/>
        <v>3.7</v>
      </c>
      <c r="P207" s="3">
        <f t="shared" si="36"/>
        <v>0</v>
      </c>
      <c r="Q207" s="3">
        <v>795464.47</v>
      </c>
      <c r="R207" s="3">
        <v>161150.51999999999</v>
      </c>
      <c r="S207" s="3">
        <f t="shared" si="37"/>
        <v>0</v>
      </c>
      <c r="T207" s="3">
        <f t="shared" si="38"/>
        <v>1</v>
      </c>
      <c r="U207" s="3">
        <f t="shared" si="39"/>
        <v>0</v>
      </c>
      <c r="V207" s="3">
        <f t="shared" si="40"/>
        <v>0</v>
      </c>
      <c r="W207" s="3">
        <f t="shared" si="41"/>
        <v>0</v>
      </c>
      <c r="X207" s="3">
        <f t="shared" si="42"/>
        <v>0</v>
      </c>
      <c r="Y207" s="3">
        <f t="shared" si="43"/>
        <v>1</v>
      </c>
    </row>
    <row r="208" spans="1:25" ht="14.45">
      <c r="A208" s="3" t="s">
        <v>107</v>
      </c>
      <c r="B208" s="4">
        <v>45717</v>
      </c>
      <c r="C208" s="3" t="s">
        <v>49</v>
      </c>
      <c r="D208" s="3" t="s">
        <v>62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f t="shared" si="33"/>
        <v>3.82</v>
      </c>
      <c r="L208" s="3">
        <f t="shared" si="34"/>
        <v>0</v>
      </c>
      <c r="M208" s="3">
        <v>0</v>
      </c>
      <c r="N208" s="3">
        <v>3.7</v>
      </c>
      <c r="O208" s="3">
        <f t="shared" si="35"/>
        <v>3.7</v>
      </c>
      <c r="P208" s="3">
        <f t="shared" si="36"/>
        <v>0</v>
      </c>
      <c r="Q208" s="3">
        <v>671868.59</v>
      </c>
      <c r="R208" s="3">
        <v>71003.28</v>
      </c>
      <c r="S208" s="3">
        <f t="shared" si="37"/>
        <v>0</v>
      </c>
      <c r="T208" s="3">
        <f t="shared" si="38"/>
        <v>1</v>
      </c>
      <c r="U208" s="3">
        <f t="shared" si="39"/>
        <v>0</v>
      </c>
      <c r="V208" s="3">
        <f t="shared" si="40"/>
        <v>0</v>
      </c>
      <c r="W208" s="3">
        <f t="shared" si="41"/>
        <v>0</v>
      </c>
      <c r="X208" s="3">
        <f t="shared" si="42"/>
        <v>0</v>
      </c>
      <c r="Y208" s="3">
        <f t="shared" si="43"/>
        <v>1</v>
      </c>
    </row>
    <row r="209" spans="1:25" ht="14.45">
      <c r="A209" s="3" t="s">
        <v>107</v>
      </c>
      <c r="B209" s="4">
        <v>45748</v>
      </c>
      <c r="C209" s="3" t="s">
        <v>49</v>
      </c>
      <c r="D209" s="3" t="s">
        <v>62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f t="shared" si="33"/>
        <v>2.7</v>
      </c>
      <c r="L209" s="3">
        <f t="shared" si="34"/>
        <v>0</v>
      </c>
      <c r="M209" s="3">
        <v>0</v>
      </c>
      <c r="N209" s="3">
        <v>3.7</v>
      </c>
      <c r="O209" s="3">
        <f t="shared" si="35"/>
        <v>3.7</v>
      </c>
      <c r="P209" s="3">
        <f t="shared" si="36"/>
        <v>0</v>
      </c>
      <c r="Q209" s="3">
        <v>675917.63</v>
      </c>
      <c r="R209" s="3">
        <v>112564.75</v>
      </c>
      <c r="S209" s="3">
        <f t="shared" si="37"/>
        <v>0</v>
      </c>
      <c r="T209" s="3">
        <f t="shared" si="38"/>
        <v>1</v>
      </c>
      <c r="U209" s="3">
        <f t="shared" si="39"/>
        <v>0</v>
      </c>
      <c r="V209" s="3">
        <f t="shared" si="40"/>
        <v>0</v>
      </c>
      <c r="W209" s="3">
        <f t="shared" si="41"/>
        <v>0</v>
      </c>
      <c r="X209" s="3">
        <f t="shared" si="42"/>
        <v>0</v>
      </c>
      <c r="Y209" s="3">
        <f t="shared" si="43"/>
        <v>1</v>
      </c>
    </row>
    <row r="210" spans="1:25" ht="14.45">
      <c r="A210" s="3" t="s">
        <v>108</v>
      </c>
      <c r="B210" s="4">
        <v>45658</v>
      </c>
      <c r="C210" s="3" t="s">
        <v>49</v>
      </c>
      <c r="D210" s="3" t="s">
        <v>52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f t="shared" si="33"/>
        <v>3.84</v>
      </c>
      <c r="L210" s="3">
        <f t="shared" si="34"/>
        <v>0</v>
      </c>
      <c r="M210" s="3">
        <v>1</v>
      </c>
      <c r="N210" s="3">
        <v>3.7</v>
      </c>
      <c r="O210" s="3">
        <f t="shared" si="35"/>
        <v>3.7</v>
      </c>
      <c r="P210" s="3">
        <f t="shared" si="36"/>
        <v>0</v>
      </c>
      <c r="Q210" s="3">
        <v>810446.53</v>
      </c>
      <c r="R210" s="3">
        <v>200575.34</v>
      </c>
      <c r="S210" s="3">
        <f t="shared" si="37"/>
        <v>1</v>
      </c>
      <c r="T210" s="3">
        <f t="shared" si="38"/>
        <v>0</v>
      </c>
      <c r="U210" s="3">
        <f t="shared" si="39"/>
        <v>0</v>
      </c>
      <c r="V210" s="3">
        <f t="shared" si="40"/>
        <v>0</v>
      </c>
      <c r="W210" s="3">
        <f t="shared" si="41"/>
        <v>0</v>
      </c>
      <c r="X210" s="3">
        <f t="shared" si="42"/>
        <v>0</v>
      </c>
      <c r="Y210" s="3">
        <f t="shared" si="43"/>
        <v>1</v>
      </c>
    </row>
    <row r="211" spans="1:25" ht="14.45">
      <c r="A211" s="3" t="s">
        <v>108</v>
      </c>
      <c r="B211" s="4">
        <v>45689</v>
      </c>
      <c r="C211" s="3" t="s">
        <v>49</v>
      </c>
      <c r="D211" s="3" t="s">
        <v>52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f t="shared" si="33"/>
        <v>5.09</v>
      </c>
      <c r="L211" s="3">
        <f t="shared" si="34"/>
        <v>0</v>
      </c>
      <c r="M211" s="3">
        <v>0</v>
      </c>
      <c r="N211" s="3">
        <v>3.3</v>
      </c>
      <c r="O211" s="3">
        <f t="shared" si="35"/>
        <v>3.3</v>
      </c>
      <c r="P211" s="3">
        <f t="shared" si="36"/>
        <v>0</v>
      </c>
      <c r="Q211" s="3">
        <v>691288.19</v>
      </c>
      <c r="R211" s="3">
        <v>159074.14000000001</v>
      </c>
      <c r="S211" s="3">
        <f t="shared" si="37"/>
        <v>1</v>
      </c>
      <c r="T211" s="3">
        <f t="shared" si="38"/>
        <v>0</v>
      </c>
      <c r="U211" s="3">
        <f t="shared" si="39"/>
        <v>0</v>
      </c>
      <c r="V211" s="3">
        <f t="shared" si="40"/>
        <v>0</v>
      </c>
      <c r="W211" s="3">
        <f t="shared" si="41"/>
        <v>0</v>
      </c>
      <c r="X211" s="3">
        <f t="shared" si="42"/>
        <v>0</v>
      </c>
      <c r="Y211" s="3">
        <f t="shared" si="43"/>
        <v>1</v>
      </c>
    </row>
    <row r="212" spans="1:25" ht="14.45">
      <c r="A212" s="3" t="s">
        <v>108</v>
      </c>
      <c r="B212" s="4">
        <v>45717</v>
      </c>
      <c r="C212" s="3" t="s">
        <v>49</v>
      </c>
      <c r="D212" s="3" t="s">
        <v>52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f t="shared" si="33"/>
        <v>3.82</v>
      </c>
      <c r="L212" s="3">
        <f t="shared" si="34"/>
        <v>0</v>
      </c>
      <c r="M212" s="3">
        <v>1</v>
      </c>
      <c r="N212" s="3">
        <v>3.7</v>
      </c>
      <c r="O212" s="3">
        <f t="shared" si="35"/>
        <v>3.7</v>
      </c>
      <c r="P212" s="3">
        <f t="shared" si="36"/>
        <v>0</v>
      </c>
      <c r="Q212" s="3">
        <v>946833.54</v>
      </c>
      <c r="R212" s="3">
        <v>184540.31</v>
      </c>
      <c r="S212" s="3">
        <f t="shared" si="37"/>
        <v>1</v>
      </c>
      <c r="T212" s="3">
        <f t="shared" si="38"/>
        <v>0</v>
      </c>
      <c r="U212" s="3">
        <f t="shared" si="39"/>
        <v>0</v>
      </c>
      <c r="V212" s="3">
        <f t="shared" si="40"/>
        <v>0</v>
      </c>
      <c r="W212" s="3">
        <f t="shared" si="41"/>
        <v>0</v>
      </c>
      <c r="X212" s="3">
        <f t="shared" si="42"/>
        <v>0</v>
      </c>
      <c r="Y212" s="3">
        <f t="shared" si="43"/>
        <v>1</v>
      </c>
    </row>
    <row r="213" spans="1:25" ht="14.45">
      <c r="A213" s="3" t="s">
        <v>108</v>
      </c>
      <c r="B213" s="4">
        <v>45748</v>
      </c>
      <c r="C213" s="3" t="s">
        <v>49</v>
      </c>
      <c r="D213" s="3" t="s">
        <v>52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f t="shared" si="33"/>
        <v>12.28</v>
      </c>
      <c r="L213" s="3">
        <f t="shared" si="34"/>
        <v>0</v>
      </c>
      <c r="M213" s="3">
        <v>0</v>
      </c>
      <c r="N213" s="3">
        <v>4.0999999999999996</v>
      </c>
      <c r="O213" s="3">
        <f t="shared" si="35"/>
        <v>4.0999999999999996</v>
      </c>
      <c r="P213" s="3">
        <f t="shared" si="36"/>
        <v>0</v>
      </c>
      <c r="Q213" s="3">
        <v>761963.23</v>
      </c>
      <c r="R213" s="3">
        <v>150113.60999999999</v>
      </c>
      <c r="S213" s="3">
        <f t="shared" si="37"/>
        <v>1</v>
      </c>
      <c r="T213" s="3">
        <f t="shared" si="38"/>
        <v>0</v>
      </c>
      <c r="U213" s="3">
        <f t="shared" si="39"/>
        <v>0</v>
      </c>
      <c r="V213" s="3">
        <f t="shared" si="40"/>
        <v>0</v>
      </c>
      <c r="W213" s="3">
        <f t="shared" si="41"/>
        <v>0</v>
      </c>
      <c r="X213" s="3">
        <f t="shared" si="42"/>
        <v>0</v>
      </c>
      <c r="Y213" s="3">
        <f t="shared" si="43"/>
        <v>1</v>
      </c>
    </row>
    <row r="214" spans="1:25" ht="14.45">
      <c r="A214" s="3" t="s">
        <v>109</v>
      </c>
      <c r="B214" s="4">
        <v>45658</v>
      </c>
      <c r="C214" s="3" t="s">
        <v>61</v>
      </c>
      <c r="D214" s="3" t="s">
        <v>50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f t="shared" si="33"/>
        <v>2.8</v>
      </c>
      <c r="L214" s="3">
        <f t="shared" si="34"/>
        <v>0</v>
      </c>
      <c r="M214" s="3">
        <v>0</v>
      </c>
      <c r="N214" s="3">
        <v>4.3</v>
      </c>
      <c r="O214" s="3">
        <f t="shared" si="35"/>
        <v>4.3</v>
      </c>
      <c r="P214" s="3">
        <f t="shared" si="36"/>
        <v>0</v>
      </c>
      <c r="Q214" s="3">
        <v>812152.6</v>
      </c>
      <c r="R214" s="3">
        <v>138419.43</v>
      </c>
      <c r="S214" s="3">
        <f t="shared" si="37"/>
        <v>0</v>
      </c>
      <c r="T214" s="3">
        <f t="shared" si="38"/>
        <v>0</v>
      </c>
      <c r="U214" s="3">
        <f t="shared" si="39"/>
        <v>1</v>
      </c>
      <c r="V214" s="3">
        <f t="shared" si="40"/>
        <v>0</v>
      </c>
      <c r="W214" s="3">
        <f t="shared" si="41"/>
        <v>0</v>
      </c>
      <c r="X214" s="3">
        <f t="shared" si="42"/>
        <v>1</v>
      </c>
      <c r="Y214" s="3">
        <f t="shared" si="43"/>
        <v>0</v>
      </c>
    </row>
    <row r="215" spans="1:25" ht="14.45">
      <c r="A215" s="3" t="s">
        <v>109</v>
      </c>
      <c r="B215" s="4">
        <v>45689</v>
      </c>
      <c r="C215" s="3" t="s">
        <v>61</v>
      </c>
      <c r="D215" s="3" t="s">
        <v>50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f t="shared" si="33"/>
        <v>3.67</v>
      </c>
      <c r="L215" s="3">
        <f t="shared" si="34"/>
        <v>0</v>
      </c>
      <c r="M215" s="3">
        <v>0</v>
      </c>
      <c r="N215" s="3">
        <v>4.2</v>
      </c>
      <c r="O215" s="3">
        <f t="shared" si="35"/>
        <v>4.2</v>
      </c>
      <c r="P215" s="3">
        <f t="shared" si="36"/>
        <v>0</v>
      </c>
      <c r="Q215" s="3">
        <v>804975.5</v>
      </c>
      <c r="R215" s="3">
        <v>140054.5</v>
      </c>
      <c r="S215" s="3">
        <f t="shared" si="37"/>
        <v>0</v>
      </c>
      <c r="T215" s="3">
        <f t="shared" si="38"/>
        <v>0</v>
      </c>
      <c r="U215" s="3">
        <f t="shared" si="39"/>
        <v>1</v>
      </c>
      <c r="V215" s="3">
        <f t="shared" si="40"/>
        <v>0</v>
      </c>
      <c r="W215" s="3">
        <f t="shared" si="41"/>
        <v>0</v>
      </c>
      <c r="X215" s="3">
        <f t="shared" si="42"/>
        <v>1</v>
      </c>
      <c r="Y215" s="3">
        <f t="shared" si="43"/>
        <v>0</v>
      </c>
    </row>
    <row r="216" spans="1:25" ht="14.45">
      <c r="A216" s="3" t="s">
        <v>109</v>
      </c>
      <c r="B216" s="4">
        <v>45717</v>
      </c>
      <c r="C216" s="3" t="s">
        <v>61</v>
      </c>
      <c r="D216" s="3" t="s">
        <v>50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f t="shared" si="33"/>
        <v>2.81</v>
      </c>
      <c r="L216" s="3">
        <f t="shared" si="34"/>
        <v>0</v>
      </c>
      <c r="M216" s="3">
        <v>0</v>
      </c>
      <c r="N216" s="3">
        <v>4.7</v>
      </c>
      <c r="O216" s="3">
        <f t="shared" si="35"/>
        <v>4.7</v>
      </c>
      <c r="P216" s="3">
        <f t="shared" si="36"/>
        <v>0</v>
      </c>
      <c r="Q216" s="3">
        <v>752321.72</v>
      </c>
      <c r="R216" s="3">
        <v>137788.51</v>
      </c>
      <c r="S216" s="3">
        <f t="shared" si="37"/>
        <v>0</v>
      </c>
      <c r="T216" s="3">
        <f t="shared" si="38"/>
        <v>0</v>
      </c>
      <c r="U216" s="3">
        <f t="shared" si="39"/>
        <v>1</v>
      </c>
      <c r="V216" s="3">
        <f t="shared" si="40"/>
        <v>0</v>
      </c>
      <c r="W216" s="3">
        <f t="shared" si="41"/>
        <v>0</v>
      </c>
      <c r="X216" s="3">
        <f t="shared" si="42"/>
        <v>1</v>
      </c>
      <c r="Y216" s="3">
        <f t="shared" si="43"/>
        <v>0</v>
      </c>
    </row>
    <row r="217" spans="1:25" ht="14.45">
      <c r="A217" s="3" t="s">
        <v>109</v>
      </c>
      <c r="B217" s="4">
        <v>45748</v>
      </c>
      <c r="C217" s="3" t="s">
        <v>61</v>
      </c>
      <c r="D217" s="3" t="s">
        <v>50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f t="shared" si="33"/>
        <v>2.44</v>
      </c>
      <c r="L217" s="3">
        <f t="shared" si="34"/>
        <v>0</v>
      </c>
      <c r="M217" s="3">
        <v>0</v>
      </c>
      <c r="N217" s="3">
        <v>4.9000000000000004</v>
      </c>
      <c r="O217" s="3">
        <f t="shared" si="35"/>
        <v>4.9000000000000004</v>
      </c>
      <c r="P217" s="3">
        <f t="shared" si="36"/>
        <v>0</v>
      </c>
      <c r="Q217" s="3">
        <v>836908.24</v>
      </c>
      <c r="R217" s="3">
        <v>141090.26</v>
      </c>
      <c r="S217" s="3">
        <f t="shared" si="37"/>
        <v>0</v>
      </c>
      <c r="T217" s="3">
        <f t="shared" si="38"/>
        <v>0</v>
      </c>
      <c r="U217" s="3">
        <f t="shared" si="39"/>
        <v>1</v>
      </c>
      <c r="V217" s="3">
        <f t="shared" si="40"/>
        <v>0</v>
      </c>
      <c r="W217" s="3">
        <f t="shared" si="41"/>
        <v>0</v>
      </c>
      <c r="X217" s="3">
        <f t="shared" si="42"/>
        <v>1</v>
      </c>
      <c r="Y217" s="3">
        <f t="shared" si="43"/>
        <v>0</v>
      </c>
    </row>
    <row r="218" spans="1:25" ht="14.45">
      <c r="A218" s="3" t="s">
        <v>110</v>
      </c>
      <c r="B218" s="4">
        <v>45658</v>
      </c>
      <c r="C218" s="3" t="s">
        <v>54</v>
      </c>
      <c r="D218" s="3" t="s">
        <v>55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f t="shared" si="33"/>
        <v>3.27</v>
      </c>
      <c r="L218" s="3">
        <f t="shared" si="34"/>
        <v>0</v>
      </c>
      <c r="M218" s="3">
        <v>0</v>
      </c>
      <c r="N218" s="3">
        <v>3.3</v>
      </c>
      <c r="O218" s="3">
        <f t="shared" si="35"/>
        <v>3.3</v>
      </c>
      <c r="P218" s="3">
        <f t="shared" si="36"/>
        <v>0</v>
      </c>
      <c r="Q218" s="3">
        <v>674289.1</v>
      </c>
      <c r="R218" s="3">
        <v>117773.79</v>
      </c>
      <c r="S218" s="3">
        <f t="shared" si="37"/>
        <v>0</v>
      </c>
      <c r="T218" s="3">
        <f t="shared" si="38"/>
        <v>0</v>
      </c>
      <c r="U218" s="3">
        <f t="shared" si="39"/>
        <v>0</v>
      </c>
      <c r="V218" s="3">
        <f t="shared" si="40"/>
        <v>1</v>
      </c>
      <c r="W218" s="3">
        <f t="shared" si="41"/>
        <v>0</v>
      </c>
      <c r="X218" s="3">
        <f t="shared" si="42"/>
        <v>0</v>
      </c>
      <c r="Y218" s="3">
        <f t="shared" si="43"/>
        <v>0</v>
      </c>
    </row>
    <row r="219" spans="1:25" ht="14.45">
      <c r="A219" s="3" t="s">
        <v>110</v>
      </c>
      <c r="B219" s="4">
        <v>45689</v>
      </c>
      <c r="C219" s="3" t="s">
        <v>54</v>
      </c>
      <c r="D219" s="3" t="s">
        <v>55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f t="shared" si="33"/>
        <v>10.34</v>
      </c>
      <c r="L219" s="3">
        <f t="shared" si="34"/>
        <v>0</v>
      </c>
      <c r="M219" s="3">
        <v>0</v>
      </c>
      <c r="N219" s="3">
        <v>3.9</v>
      </c>
      <c r="O219" s="3">
        <f t="shared" si="35"/>
        <v>3.9</v>
      </c>
      <c r="P219" s="3">
        <f t="shared" si="36"/>
        <v>0</v>
      </c>
      <c r="Q219" s="3">
        <v>622892.42000000004</v>
      </c>
      <c r="R219" s="3">
        <v>101032.52</v>
      </c>
      <c r="S219" s="3">
        <f t="shared" si="37"/>
        <v>0</v>
      </c>
      <c r="T219" s="3">
        <f t="shared" si="38"/>
        <v>0</v>
      </c>
      <c r="U219" s="3">
        <f t="shared" si="39"/>
        <v>0</v>
      </c>
      <c r="V219" s="3">
        <f t="shared" si="40"/>
        <v>1</v>
      </c>
      <c r="W219" s="3">
        <f t="shared" si="41"/>
        <v>0</v>
      </c>
      <c r="X219" s="3">
        <f t="shared" si="42"/>
        <v>0</v>
      </c>
      <c r="Y219" s="3">
        <f t="shared" si="43"/>
        <v>0</v>
      </c>
    </row>
    <row r="220" spans="1:25" ht="14.45">
      <c r="A220" s="3" t="s">
        <v>110</v>
      </c>
      <c r="B220" s="4">
        <v>45717</v>
      </c>
      <c r="C220" s="3" t="s">
        <v>54</v>
      </c>
      <c r="D220" s="3" t="s">
        <v>55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f t="shared" si="33"/>
        <v>1.92</v>
      </c>
      <c r="L220" s="3">
        <f t="shared" si="34"/>
        <v>0</v>
      </c>
      <c r="M220" s="3">
        <v>0</v>
      </c>
      <c r="N220" s="3">
        <v>3.7</v>
      </c>
      <c r="O220" s="3">
        <f t="shared" si="35"/>
        <v>3.7</v>
      </c>
      <c r="P220" s="3">
        <f t="shared" si="36"/>
        <v>0</v>
      </c>
      <c r="Q220" s="3">
        <v>673348.56</v>
      </c>
      <c r="R220" s="3">
        <v>69464.59</v>
      </c>
      <c r="S220" s="3">
        <f t="shared" si="37"/>
        <v>0</v>
      </c>
      <c r="T220" s="3">
        <f t="shared" si="38"/>
        <v>0</v>
      </c>
      <c r="U220" s="3">
        <f t="shared" si="39"/>
        <v>0</v>
      </c>
      <c r="V220" s="3">
        <f t="shared" si="40"/>
        <v>1</v>
      </c>
      <c r="W220" s="3">
        <f t="shared" si="41"/>
        <v>0</v>
      </c>
      <c r="X220" s="3">
        <f t="shared" si="42"/>
        <v>0</v>
      </c>
      <c r="Y220" s="3">
        <f t="shared" si="43"/>
        <v>0</v>
      </c>
    </row>
    <row r="221" spans="1:25" ht="14.45">
      <c r="A221" s="3" t="s">
        <v>110</v>
      </c>
      <c r="B221" s="4">
        <v>45748</v>
      </c>
      <c r="C221" s="3" t="s">
        <v>54</v>
      </c>
      <c r="D221" s="3" t="s">
        <v>55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f t="shared" si="33"/>
        <v>3.1</v>
      </c>
      <c r="L221" s="3">
        <f t="shared" si="34"/>
        <v>0</v>
      </c>
      <c r="M221" s="3">
        <v>0</v>
      </c>
      <c r="N221" s="3">
        <v>3.9</v>
      </c>
      <c r="O221" s="3">
        <f t="shared" si="35"/>
        <v>3.9</v>
      </c>
      <c r="P221" s="3">
        <f t="shared" si="36"/>
        <v>0</v>
      </c>
      <c r="Q221" s="3">
        <v>606278.30000000005</v>
      </c>
      <c r="R221" s="3">
        <v>102213.26</v>
      </c>
      <c r="S221" s="3">
        <f t="shared" si="37"/>
        <v>0</v>
      </c>
      <c r="T221" s="3">
        <f t="shared" si="38"/>
        <v>0</v>
      </c>
      <c r="U221" s="3">
        <f t="shared" si="39"/>
        <v>0</v>
      </c>
      <c r="V221" s="3">
        <f t="shared" si="40"/>
        <v>1</v>
      </c>
      <c r="W221" s="3">
        <f t="shared" si="41"/>
        <v>0</v>
      </c>
      <c r="X221" s="3">
        <f t="shared" si="42"/>
        <v>0</v>
      </c>
      <c r="Y221" s="3">
        <f t="shared" si="43"/>
        <v>0</v>
      </c>
    </row>
    <row r="222" spans="1:25" ht="14.45">
      <c r="A222" s="3" t="s">
        <v>111</v>
      </c>
      <c r="B222" s="4">
        <v>45658</v>
      </c>
      <c r="C222" s="3" t="s">
        <v>49</v>
      </c>
      <c r="D222" s="3" t="s">
        <v>52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f t="shared" si="33"/>
        <v>6.34</v>
      </c>
      <c r="L222" s="3">
        <f t="shared" si="34"/>
        <v>0</v>
      </c>
      <c r="M222" s="3">
        <v>1</v>
      </c>
      <c r="N222" s="3">
        <v>3.8</v>
      </c>
      <c r="O222" s="3">
        <f t="shared" si="35"/>
        <v>3.8</v>
      </c>
      <c r="P222" s="3">
        <f t="shared" si="36"/>
        <v>0</v>
      </c>
      <c r="Q222" s="3">
        <v>712219.81</v>
      </c>
      <c r="R222" s="3">
        <v>85906.54</v>
      </c>
      <c r="S222" s="3">
        <f t="shared" si="37"/>
        <v>1</v>
      </c>
      <c r="T222" s="3">
        <f t="shared" si="38"/>
        <v>0</v>
      </c>
      <c r="U222" s="3">
        <f t="shared" si="39"/>
        <v>0</v>
      </c>
      <c r="V222" s="3">
        <f t="shared" si="40"/>
        <v>0</v>
      </c>
      <c r="W222" s="3">
        <f t="shared" si="41"/>
        <v>0</v>
      </c>
      <c r="X222" s="3">
        <f t="shared" si="42"/>
        <v>0</v>
      </c>
      <c r="Y222" s="3">
        <f t="shared" si="43"/>
        <v>1</v>
      </c>
    </row>
    <row r="223" spans="1:25" ht="14.45">
      <c r="A223" s="3" t="s">
        <v>111</v>
      </c>
      <c r="B223" s="4">
        <v>45689</v>
      </c>
      <c r="C223" s="3" t="s">
        <v>49</v>
      </c>
      <c r="D223" s="3" t="s">
        <v>52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f t="shared" si="33"/>
        <v>1.2</v>
      </c>
      <c r="L223" s="3">
        <f t="shared" si="34"/>
        <v>0</v>
      </c>
      <c r="M223" s="3">
        <v>0</v>
      </c>
      <c r="N223" s="3">
        <v>3.4</v>
      </c>
      <c r="O223" s="3">
        <f t="shared" si="35"/>
        <v>3.4</v>
      </c>
      <c r="P223" s="3">
        <f t="shared" si="36"/>
        <v>0</v>
      </c>
      <c r="Q223" s="3">
        <v>672670.54</v>
      </c>
      <c r="R223" s="3">
        <v>132684.18</v>
      </c>
      <c r="S223" s="3">
        <f t="shared" si="37"/>
        <v>1</v>
      </c>
      <c r="T223" s="3">
        <f t="shared" si="38"/>
        <v>0</v>
      </c>
      <c r="U223" s="3">
        <f t="shared" si="39"/>
        <v>0</v>
      </c>
      <c r="V223" s="3">
        <f t="shared" si="40"/>
        <v>0</v>
      </c>
      <c r="W223" s="3">
        <f t="shared" si="41"/>
        <v>0</v>
      </c>
      <c r="X223" s="3">
        <f t="shared" si="42"/>
        <v>0</v>
      </c>
      <c r="Y223" s="3">
        <f t="shared" si="43"/>
        <v>1</v>
      </c>
    </row>
    <row r="224" spans="1:25" ht="14.45">
      <c r="A224" s="3" t="s">
        <v>111</v>
      </c>
      <c r="B224" s="4">
        <v>45717</v>
      </c>
      <c r="C224" s="3" t="s">
        <v>49</v>
      </c>
      <c r="D224" s="3" t="s">
        <v>52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f t="shared" si="33"/>
        <v>4.5</v>
      </c>
      <c r="L224" s="3">
        <f t="shared" si="34"/>
        <v>0</v>
      </c>
      <c r="M224" s="3">
        <v>0</v>
      </c>
      <c r="N224" s="3">
        <v>3.3</v>
      </c>
      <c r="O224" s="3">
        <f t="shared" si="35"/>
        <v>3.3</v>
      </c>
      <c r="P224" s="3">
        <f t="shared" si="36"/>
        <v>0</v>
      </c>
      <c r="Q224" s="3">
        <v>732667.92</v>
      </c>
      <c r="R224" s="3">
        <v>128654.46</v>
      </c>
      <c r="S224" s="3">
        <f t="shared" si="37"/>
        <v>1</v>
      </c>
      <c r="T224" s="3">
        <f t="shared" si="38"/>
        <v>0</v>
      </c>
      <c r="U224" s="3">
        <f t="shared" si="39"/>
        <v>0</v>
      </c>
      <c r="V224" s="3">
        <f t="shared" si="40"/>
        <v>0</v>
      </c>
      <c r="W224" s="3">
        <f t="shared" si="41"/>
        <v>0</v>
      </c>
      <c r="X224" s="3">
        <f t="shared" si="42"/>
        <v>0</v>
      </c>
      <c r="Y224" s="3">
        <f t="shared" si="43"/>
        <v>1</v>
      </c>
    </row>
    <row r="225" spans="1:25" ht="14.45">
      <c r="A225" s="3" t="s">
        <v>111</v>
      </c>
      <c r="B225" s="4">
        <v>45748</v>
      </c>
      <c r="C225" s="3" t="s">
        <v>49</v>
      </c>
      <c r="D225" s="3" t="s">
        <v>52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f t="shared" si="33"/>
        <v>6.68</v>
      </c>
      <c r="L225" s="3">
        <f t="shared" si="34"/>
        <v>0</v>
      </c>
      <c r="M225" s="3">
        <v>0</v>
      </c>
      <c r="N225" s="3">
        <v>3.6</v>
      </c>
      <c r="O225" s="3">
        <f t="shared" si="35"/>
        <v>3.6</v>
      </c>
      <c r="P225" s="3">
        <f t="shared" si="36"/>
        <v>0</v>
      </c>
      <c r="Q225" s="3">
        <v>723531.4</v>
      </c>
      <c r="R225" s="3">
        <v>108794.85</v>
      </c>
      <c r="S225" s="3">
        <f t="shared" si="37"/>
        <v>1</v>
      </c>
      <c r="T225" s="3">
        <f t="shared" si="38"/>
        <v>0</v>
      </c>
      <c r="U225" s="3">
        <f t="shared" si="39"/>
        <v>0</v>
      </c>
      <c r="V225" s="3">
        <f t="shared" si="40"/>
        <v>0</v>
      </c>
      <c r="W225" s="3">
        <f t="shared" si="41"/>
        <v>0</v>
      </c>
      <c r="X225" s="3">
        <f t="shared" si="42"/>
        <v>0</v>
      </c>
      <c r="Y225" s="3">
        <f t="shared" si="43"/>
        <v>1</v>
      </c>
    </row>
    <row r="226" spans="1:25" ht="14.45">
      <c r="A226" s="3" t="s">
        <v>112</v>
      </c>
      <c r="B226" s="4">
        <v>45658</v>
      </c>
      <c r="C226" s="3" t="s">
        <v>49</v>
      </c>
      <c r="D226" s="3" t="s">
        <v>62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f t="shared" si="33"/>
        <v>4.07</v>
      </c>
      <c r="L226" s="3">
        <f t="shared" si="34"/>
        <v>0</v>
      </c>
      <c r="M226" s="3">
        <v>1</v>
      </c>
      <c r="N226" s="3">
        <v>3</v>
      </c>
      <c r="O226" s="3">
        <f t="shared" si="35"/>
        <v>3</v>
      </c>
      <c r="P226" s="3">
        <f t="shared" si="36"/>
        <v>0</v>
      </c>
      <c r="Q226" s="3">
        <v>641564.6</v>
      </c>
      <c r="R226" s="3">
        <v>90468.96</v>
      </c>
      <c r="S226" s="3">
        <f t="shared" si="37"/>
        <v>0</v>
      </c>
      <c r="T226" s="3">
        <f t="shared" si="38"/>
        <v>1</v>
      </c>
      <c r="U226" s="3">
        <f t="shared" si="39"/>
        <v>0</v>
      </c>
      <c r="V226" s="3">
        <f t="shared" si="40"/>
        <v>0</v>
      </c>
      <c r="W226" s="3">
        <f t="shared" si="41"/>
        <v>0</v>
      </c>
      <c r="X226" s="3">
        <f t="shared" si="42"/>
        <v>0</v>
      </c>
      <c r="Y226" s="3">
        <f t="shared" si="43"/>
        <v>1</v>
      </c>
    </row>
    <row r="227" spans="1:25" ht="14.45">
      <c r="A227" s="3" t="s">
        <v>112</v>
      </c>
      <c r="B227" s="4">
        <v>45689</v>
      </c>
      <c r="C227" s="3" t="s">
        <v>49</v>
      </c>
      <c r="D227" s="3" t="s">
        <v>62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f t="shared" si="33"/>
        <v>5.45</v>
      </c>
      <c r="L227" s="3">
        <f t="shared" si="34"/>
        <v>0</v>
      </c>
      <c r="M227" s="3">
        <v>0</v>
      </c>
      <c r="N227" s="3">
        <v>3.4</v>
      </c>
      <c r="O227" s="3">
        <f t="shared" si="35"/>
        <v>3.4</v>
      </c>
      <c r="P227" s="3">
        <f t="shared" si="36"/>
        <v>0</v>
      </c>
      <c r="Q227" s="3">
        <v>536545.49</v>
      </c>
      <c r="R227" s="3">
        <v>97917.45</v>
      </c>
      <c r="S227" s="3">
        <f t="shared" si="37"/>
        <v>0</v>
      </c>
      <c r="T227" s="3">
        <f t="shared" si="38"/>
        <v>1</v>
      </c>
      <c r="U227" s="3">
        <f t="shared" si="39"/>
        <v>0</v>
      </c>
      <c r="V227" s="3">
        <f t="shared" si="40"/>
        <v>0</v>
      </c>
      <c r="W227" s="3">
        <f t="shared" si="41"/>
        <v>0</v>
      </c>
      <c r="X227" s="3">
        <f t="shared" si="42"/>
        <v>0</v>
      </c>
      <c r="Y227" s="3">
        <f t="shared" si="43"/>
        <v>1</v>
      </c>
    </row>
    <row r="228" spans="1:25" ht="14.45">
      <c r="A228" s="3" t="s">
        <v>112</v>
      </c>
      <c r="B228" s="4">
        <v>45717</v>
      </c>
      <c r="C228" s="3" t="s">
        <v>49</v>
      </c>
      <c r="D228" s="3" t="s">
        <v>62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f t="shared" si="33"/>
        <v>15.58</v>
      </c>
      <c r="L228" s="3">
        <f t="shared" si="34"/>
        <v>0</v>
      </c>
      <c r="M228" s="3">
        <v>0</v>
      </c>
      <c r="N228" s="3">
        <v>3.3</v>
      </c>
      <c r="O228" s="3">
        <f t="shared" si="35"/>
        <v>3.3</v>
      </c>
      <c r="P228" s="3">
        <f t="shared" si="36"/>
        <v>0</v>
      </c>
      <c r="Q228" s="3">
        <v>527681.56000000006</v>
      </c>
      <c r="R228" s="3">
        <v>63153.05</v>
      </c>
      <c r="S228" s="3">
        <f t="shared" si="37"/>
        <v>0</v>
      </c>
      <c r="T228" s="3">
        <f t="shared" si="38"/>
        <v>1</v>
      </c>
      <c r="U228" s="3">
        <f t="shared" si="39"/>
        <v>0</v>
      </c>
      <c r="V228" s="3">
        <f t="shared" si="40"/>
        <v>0</v>
      </c>
      <c r="W228" s="3">
        <f t="shared" si="41"/>
        <v>0</v>
      </c>
      <c r="X228" s="3">
        <f t="shared" si="42"/>
        <v>0</v>
      </c>
      <c r="Y228" s="3">
        <f t="shared" si="43"/>
        <v>1</v>
      </c>
    </row>
    <row r="229" spans="1:25" ht="14.45">
      <c r="A229" s="3" t="s">
        <v>112</v>
      </c>
      <c r="B229" s="4">
        <v>45748</v>
      </c>
      <c r="C229" s="3" t="s">
        <v>49</v>
      </c>
      <c r="D229" s="3" t="s">
        <v>62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f t="shared" si="33"/>
        <v>5.32</v>
      </c>
      <c r="L229" s="3">
        <f t="shared" si="34"/>
        <v>0</v>
      </c>
      <c r="M229" s="3">
        <v>0</v>
      </c>
      <c r="N229" s="3"/>
      <c r="O229" s="3">
        <f t="shared" si="35"/>
        <v>3.9</v>
      </c>
      <c r="P229" s="3">
        <f t="shared" si="36"/>
        <v>1</v>
      </c>
      <c r="Q229" s="3">
        <v>529598.93999999994</v>
      </c>
      <c r="R229" s="3">
        <v>84334.33</v>
      </c>
      <c r="S229" s="3">
        <f t="shared" si="37"/>
        <v>0</v>
      </c>
      <c r="T229" s="3">
        <f t="shared" si="38"/>
        <v>1</v>
      </c>
      <c r="U229" s="3">
        <f t="shared" si="39"/>
        <v>0</v>
      </c>
      <c r="V229" s="3">
        <f t="shared" si="40"/>
        <v>0</v>
      </c>
      <c r="W229" s="3">
        <f t="shared" si="41"/>
        <v>0</v>
      </c>
      <c r="X229" s="3">
        <f t="shared" si="42"/>
        <v>0</v>
      </c>
      <c r="Y229" s="3">
        <f t="shared" si="43"/>
        <v>1</v>
      </c>
    </row>
    <row r="230" spans="1:25" ht="14.45">
      <c r="A230" s="3" t="s">
        <v>113</v>
      </c>
      <c r="B230" s="4">
        <v>45658</v>
      </c>
      <c r="C230" s="3" t="s">
        <v>49</v>
      </c>
      <c r="D230" s="3" t="s">
        <v>52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f t="shared" si="33"/>
        <v>0.37</v>
      </c>
      <c r="L230" s="3">
        <f t="shared" si="34"/>
        <v>0</v>
      </c>
      <c r="M230" s="3">
        <v>0</v>
      </c>
      <c r="N230" s="3">
        <v>3.8</v>
      </c>
      <c r="O230" s="3">
        <f t="shared" si="35"/>
        <v>3.8</v>
      </c>
      <c r="P230" s="3">
        <f t="shared" si="36"/>
        <v>0</v>
      </c>
      <c r="Q230" s="3">
        <v>570963.31000000006</v>
      </c>
      <c r="R230" s="3">
        <v>87342.25</v>
      </c>
      <c r="S230" s="3">
        <f t="shared" si="37"/>
        <v>1</v>
      </c>
      <c r="T230" s="3">
        <f t="shared" si="38"/>
        <v>0</v>
      </c>
      <c r="U230" s="3">
        <f t="shared" si="39"/>
        <v>0</v>
      </c>
      <c r="V230" s="3">
        <f t="shared" si="40"/>
        <v>0</v>
      </c>
      <c r="W230" s="3">
        <f t="shared" si="41"/>
        <v>0</v>
      </c>
      <c r="X230" s="3">
        <f t="shared" si="42"/>
        <v>0</v>
      </c>
      <c r="Y230" s="3">
        <f t="shared" si="43"/>
        <v>1</v>
      </c>
    </row>
    <row r="231" spans="1:25" ht="14.45">
      <c r="A231" s="3" t="s">
        <v>113</v>
      </c>
      <c r="B231" s="4">
        <v>45689</v>
      </c>
      <c r="C231" s="3" t="s">
        <v>49</v>
      </c>
      <c r="D231" s="3" t="s">
        <v>52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f t="shared" si="33"/>
        <v>21.63</v>
      </c>
      <c r="L231" s="3">
        <f t="shared" si="34"/>
        <v>0</v>
      </c>
      <c r="M231" s="3">
        <v>0</v>
      </c>
      <c r="N231" s="3">
        <v>4</v>
      </c>
      <c r="O231" s="3">
        <f t="shared" si="35"/>
        <v>4</v>
      </c>
      <c r="P231" s="3">
        <f t="shared" si="36"/>
        <v>0</v>
      </c>
      <c r="Q231" s="3">
        <v>870937.4</v>
      </c>
      <c r="R231" s="3">
        <v>175282.74</v>
      </c>
      <c r="S231" s="3">
        <f t="shared" si="37"/>
        <v>1</v>
      </c>
      <c r="T231" s="3">
        <f t="shared" si="38"/>
        <v>0</v>
      </c>
      <c r="U231" s="3">
        <f t="shared" si="39"/>
        <v>0</v>
      </c>
      <c r="V231" s="3">
        <f t="shared" si="40"/>
        <v>0</v>
      </c>
      <c r="W231" s="3">
        <f t="shared" si="41"/>
        <v>0</v>
      </c>
      <c r="X231" s="3">
        <f t="shared" si="42"/>
        <v>0</v>
      </c>
      <c r="Y231" s="3">
        <f t="shared" si="43"/>
        <v>1</v>
      </c>
    </row>
    <row r="232" spans="1:25" ht="14.45">
      <c r="A232" s="3" t="s">
        <v>113</v>
      </c>
      <c r="B232" s="4">
        <v>45717</v>
      </c>
      <c r="C232" s="3" t="s">
        <v>49</v>
      </c>
      <c r="D232" s="3" t="s">
        <v>52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f t="shared" si="33"/>
        <v>2.48</v>
      </c>
      <c r="L232" s="3">
        <f t="shared" si="34"/>
        <v>0</v>
      </c>
      <c r="M232" s="3">
        <v>0</v>
      </c>
      <c r="N232" s="3">
        <v>3.9</v>
      </c>
      <c r="O232" s="3">
        <f t="shared" si="35"/>
        <v>3.9</v>
      </c>
      <c r="P232" s="3">
        <f t="shared" si="36"/>
        <v>0</v>
      </c>
      <c r="Q232" s="3">
        <v>596969.27</v>
      </c>
      <c r="R232" s="3">
        <v>105669.51</v>
      </c>
      <c r="S232" s="3">
        <f t="shared" si="37"/>
        <v>1</v>
      </c>
      <c r="T232" s="3">
        <f t="shared" si="38"/>
        <v>0</v>
      </c>
      <c r="U232" s="3">
        <f t="shared" si="39"/>
        <v>0</v>
      </c>
      <c r="V232" s="3">
        <f t="shared" si="40"/>
        <v>0</v>
      </c>
      <c r="W232" s="3">
        <f t="shared" si="41"/>
        <v>0</v>
      </c>
      <c r="X232" s="3">
        <f t="shared" si="42"/>
        <v>0</v>
      </c>
      <c r="Y232" s="3">
        <f t="shared" si="43"/>
        <v>1</v>
      </c>
    </row>
    <row r="233" spans="1:25" ht="14.45">
      <c r="A233" s="3" t="s">
        <v>113</v>
      </c>
      <c r="B233" s="4">
        <v>45748</v>
      </c>
      <c r="C233" s="3" t="s">
        <v>49</v>
      </c>
      <c r="D233" s="3" t="s">
        <v>52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f t="shared" si="33"/>
        <v>3.3650000000000002</v>
      </c>
      <c r="L233" s="3">
        <f t="shared" si="34"/>
        <v>1</v>
      </c>
      <c r="M233" s="3">
        <v>0</v>
      </c>
      <c r="N233" s="3">
        <v>3.7</v>
      </c>
      <c r="O233" s="3">
        <f t="shared" si="35"/>
        <v>3.7</v>
      </c>
      <c r="P233" s="3">
        <f t="shared" si="36"/>
        <v>0</v>
      </c>
      <c r="Q233" s="3">
        <v>647512.85</v>
      </c>
      <c r="R233" s="3">
        <v>153835.57</v>
      </c>
      <c r="S233" s="3">
        <f t="shared" si="37"/>
        <v>1</v>
      </c>
      <c r="T233" s="3">
        <f t="shared" si="38"/>
        <v>0</v>
      </c>
      <c r="U233" s="3">
        <f t="shared" si="39"/>
        <v>0</v>
      </c>
      <c r="V233" s="3">
        <f t="shared" si="40"/>
        <v>0</v>
      </c>
      <c r="W233" s="3">
        <f t="shared" si="41"/>
        <v>0</v>
      </c>
      <c r="X233" s="3">
        <f t="shared" si="42"/>
        <v>0</v>
      </c>
      <c r="Y233" s="3">
        <f t="shared" si="43"/>
        <v>1</v>
      </c>
    </row>
    <row r="234" spans="1:25" ht="14.45">
      <c r="A234" s="3" t="s">
        <v>114</v>
      </c>
      <c r="B234" s="4">
        <v>45658</v>
      </c>
      <c r="C234" s="3" t="s">
        <v>61</v>
      </c>
      <c r="D234" s="3" t="s">
        <v>50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f t="shared" si="33"/>
        <v>0.85</v>
      </c>
      <c r="L234" s="3">
        <f t="shared" si="34"/>
        <v>0</v>
      </c>
      <c r="M234" s="3">
        <v>0</v>
      </c>
      <c r="N234" s="3">
        <v>4.3</v>
      </c>
      <c r="O234" s="3">
        <f t="shared" si="35"/>
        <v>4.3</v>
      </c>
      <c r="P234" s="3">
        <f t="shared" si="36"/>
        <v>0</v>
      </c>
      <c r="Q234" s="3">
        <v>658072.14</v>
      </c>
      <c r="R234" s="3">
        <v>110595.89</v>
      </c>
      <c r="S234" s="3">
        <f t="shared" si="37"/>
        <v>0</v>
      </c>
      <c r="T234" s="3">
        <f t="shared" si="38"/>
        <v>0</v>
      </c>
      <c r="U234" s="3">
        <f t="shared" si="39"/>
        <v>1</v>
      </c>
      <c r="V234" s="3">
        <f t="shared" si="40"/>
        <v>0</v>
      </c>
      <c r="W234" s="3">
        <f t="shared" si="41"/>
        <v>0</v>
      </c>
      <c r="X234" s="3">
        <f t="shared" si="42"/>
        <v>1</v>
      </c>
      <c r="Y234" s="3">
        <f t="shared" si="43"/>
        <v>0</v>
      </c>
    </row>
    <row r="235" spans="1:25" ht="14.45">
      <c r="A235" s="3" t="s">
        <v>114</v>
      </c>
      <c r="B235" s="4">
        <v>45689</v>
      </c>
      <c r="C235" s="3" t="s">
        <v>61</v>
      </c>
      <c r="D235" s="3" t="s">
        <v>50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f t="shared" si="33"/>
        <v>2.13</v>
      </c>
      <c r="L235" s="3">
        <f t="shared" si="34"/>
        <v>0</v>
      </c>
      <c r="M235" s="3">
        <v>0</v>
      </c>
      <c r="N235" s="3">
        <v>4</v>
      </c>
      <c r="O235" s="3">
        <f t="shared" si="35"/>
        <v>4</v>
      </c>
      <c r="P235" s="3">
        <f t="shared" si="36"/>
        <v>0</v>
      </c>
      <c r="Q235" s="3">
        <v>723305.11</v>
      </c>
      <c r="R235" s="3">
        <v>128468.7</v>
      </c>
      <c r="S235" s="3">
        <f t="shared" si="37"/>
        <v>0</v>
      </c>
      <c r="T235" s="3">
        <f t="shared" si="38"/>
        <v>0</v>
      </c>
      <c r="U235" s="3">
        <f t="shared" si="39"/>
        <v>1</v>
      </c>
      <c r="V235" s="3">
        <f t="shared" si="40"/>
        <v>0</v>
      </c>
      <c r="W235" s="3">
        <f t="shared" si="41"/>
        <v>0</v>
      </c>
      <c r="X235" s="3">
        <f t="shared" si="42"/>
        <v>1</v>
      </c>
      <c r="Y235" s="3">
        <f t="shared" si="43"/>
        <v>0</v>
      </c>
    </row>
    <row r="236" spans="1:25" ht="14.45">
      <c r="A236" s="3" t="s">
        <v>114</v>
      </c>
      <c r="B236" s="4">
        <v>45717</v>
      </c>
      <c r="C236" s="3" t="s">
        <v>61</v>
      </c>
      <c r="D236" s="3" t="s">
        <v>50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f t="shared" si="33"/>
        <v>1.46</v>
      </c>
      <c r="L236" s="3">
        <f t="shared" si="34"/>
        <v>0</v>
      </c>
      <c r="M236" s="3">
        <v>0</v>
      </c>
      <c r="N236" s="3">
        <v>4.5</v>
      </c>
      <c r="O236" s="3">
        <f t="shared" si="35"/>
        <v>4.5</v>
      </c>
      <c r="P236" s="3">
        <f t="shared" si="36"/>
        <v>0</v>
      </c>
      <c r="Q236" s="3">
        <v>640666.53</v>
      </c>
      <c r="R236" s="3">
        <v>134919.16</v>
      </c>
      <c r="S236" s="3">
        <f t="shared" si="37"/>
        <v>0</v>
      </c>
      <c r="T236" s="3">
        <f t="shared" si="38"/>
        <v>0</v>
      </c>
      <c r="U236" s="3">
        <f t="shared" si="39"/>
        <v>1</v>
      </c>
      <c r="V236" s="3">
        <f t="shared" si="40"/>
        <v>0</v>
      </c>
      <c r="W236" s="3">
        <f t="shared" si="41"/>
        <v>0</v>
      </c>
      <c r="X236" s="3">
        <f t="shared" si="42"/>
        <v>1</v>
      </c>
      <c r="Y236" s="3">
        <f t="shared" si="43"/>
        <v>0</v>
      </c>
    </row>
    <row r="237" spans="1:25" ht="14.45">
      <c r="A237" s="3" t="s">
        <v>114</v>
      </c>
      <c r="B237" s="4">
        <v>45748</v>
      </c>
      <c r="C237" s="3" t="s">
        <v>61</v>
      </c>
      <c r="D237" s="3" t="s">
        <v>50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f t="shared" si="33"/>
        <v>3.02</v>
      </c>
      <c r="L237" s="3">
        <f t="shared" si="34"/>
        <v>0</v>
      </c>
      <c r="M237" s="3">
        <v>0</v>
      </c>
      <c r="N237" s="3">
        <v>4.0999999999999996</v>
      </c>
      <c r="O237" s="3">
        <f t="shared" si="35"/>
        <v>4.0999999999999996</v>
      </c>
      <c r="P237" s="3">
        <f t="shared" si="36"/>
        <v>0</v>
      </c>
      <c r="Q237" s="3">
        <v>670629.48</v>
      </c>
      <c r="R237" s="3">
        <v>100140.8</v>
      </c>
      <c r="S237" s="3">
        <f t="shared" si="37"/>
        <v>0</v>
      </c>
      <c r="T237" s="3">
        <f t="shared" si="38"/>
        <v>0</v>
      </c>
      <c r="U237" s="3">
        <f t="shared" si="39"/>
        <v>1</v>
      </c>
      <c r="V237" s="3">
        <f t="shared" si="40"/>
        <v>0</v>
      </c>
      <c r="W237" s="3">
        <f t="shared" si="41"/>
        <v>0</v>
      </c>
      <c r="X237" s="3">
        <f t="shared" si="42"/>
        <v>1</v>
      </c>
      <c r="Y237" s="3">
        <f t="shared" si="43"/>
        <v>0</v>
      </c>
    </row>
    <row r="238" spans="1:25" ht="14.45">
      <c r="A238" s="3" t="s">
        <v>115</v>
      </c>
      <c r="B238" s="4">
        <v>45658</v>
      </c>
      <c r="C238" s="3" t="s">
        <v>61</v>
      </c>
      <c r="D238" s="3" t="s">
        <v>62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f t="shared" si="33"/>
        <v>3.22</v>
      </c>
      <c r="L238" s="3">
        <f t="shared" si="34"/>
        <v>0</v>
      </c>
      <c r="M238" s="3">
        <v>0</v>
      </c>
      <c r="N238" s="3">
        <v>3.7</v>
      </c>
      <c r="O238" s="3">
        <f t="shared" si="35"/>
        <v>3.7</v>
      </c>
      <c r="P238" s="3">
        <f t="shared" si="36"/>
        <v>0</v>
      </c>
      <c r="Q238" s="3">
        <v>721079.35</v>
      </c>
      <c r="R238" s="3">
        <v>115295.05</v>
      </c>
      <c r="S238" s="3">
        <f t="shared" si="37"/>
        <v>0</v>
      </c>
      <c r="T238" s="3">
        <f t="shared" si="38"/>
        <v>1</v>
      </c>
      <c r="U238" s="3">
        <f t="shared" si="39"/>
        <v>0</v>
      </c>
      <c r="V238" s="3">
        <f t="shared" si="40"/>
        <v>0</v>
      </c>
      <c r="W238" s="3">
        <f t="shared" si="41"/>
        <v>0</v>
      </c>
      <c r="X238" s="3">
        <f t="shared" si="42"/>
        <v>1</v>
      </c>
      <c r="Y238" s="3">
        <f t="shared" si="43"/>
        <v>0</v>
      </c>
    </row>
    <row r="239" spans="1:25" ht="14.45">
      <c r="A239" s="3" t="s">
        <v>115</v>
      </c>
      <c r="B239" s="4">
        <v>45689</v>
      </c>
      <c r="C239" s="3" t="s">
        <v>61</v>
      </c>
      <c r="D239" s="3" t="s">
        <v>62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f t="shared" si="33"/>
        <v>15.66</v>
      </c>
      <c r="L239" s="3">
        <f t="shared" si="34"/>
        <v>0</v>
      </c>
      <c r="M239" s="3">
        <v>0</v>
      </c>
      <c r="N239" s="3">
        <v>3.4</v>
      </c>
      <c r="O239" s="3">
        <f t="shared" si="35"/>
        <v>3.4</v>
      </c>
      <c r="P239" s="3">
        <f t="shared" si="36"/>
        <v>0</v>
      </c>
      <c r="Q239" s="3">
        <v>810355.02</v>
      </c>
      <c r="R239" s="3">
        <v>131510</v>
      </c>
      <c r="S239" s="3">
        <f t="shared" si="37"/>
        <v>0</v>
      </c>
      <c r="T239" s="3">
        <f t="shared" si="38"/>
        <v>1</v>
      </c>
      <c r="U239" s="3">
        <f t="shared" si="39"/>
        <v>0</v>
      </c>
      <c r="V239" s="3">
        <f t="shared" si="40"/>
        <v>0</v>
      </c>
      <c r="W239" s="3">
        <f t="shared" si="41"/>
        <v>0</v>
      </c>
      <c r="X239" s="3">
        <f t="shared" si="42"/>
        <v>1</v>
      </c>
      <c r="Y239" s="3">
        <f t="shared" si="43"/>
        <v>0</v>
      </c>
    </row>
    <row r="240" spans="1:25" ht="14.45">
      <c r="A240" s="3" t="s">
        <v>115</v>
      </c>
      <c r="B240" s="4">
        <v>45717</v>
      </c>
      <c r="C240" s="3" t="s">
        <v>61</v>
      </c>
      <c r="D240" s="3" t="s">
        <v>62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f t="shared" si="33"/>
        <v>6.96</v>
      </c>
      <c r="L240" s="3">
        <f t="shared" si="34"/>
        <v>0</v>
      </c>
      <c r="M240" s="3">
        <v>0</v>
      </c>
      <c r="N240" s="3">
        <v>3.2</v>
      </c>
      <c r="O240" s="3">
        <f t="shared" si="35"/>
        <v>3.2</v>
      </c>
      <c r="P240" s="3">
        <f t="shared" si="36"/>
        <v>0</v>
      </c>
      <c r="Q240" s="3">
        <v>761919.25</v>
      </c>
      <c r="R240" s="3">
        <v>111893.06</v>
      </c>
      <c r="S240" s="3">
        <f t="shared" si="37"/>
        <v>0</v>
      </c>
      <c r="T240" s="3">
        <f t="shared" si="38"/>
        <v>1</v>
      </c>
      <c r="U240" s="3">
        <f t="shared" si="39"/>
        <v>0</v>
      </c>
      <c r="V240" s="3">
        <f t="shared" si="40"/>
        <v>0</v>
      </c>
      <c r="W240" s="3">
        <f t="shared" si="41"/>
        <v>0</v>
      </c>
      <c r="X240" s="3">
        <f t="shared" si="42"/>
        <v>1</v>
      </c>
      <c r="Y240" s="3">
        <f t="shared" si="43"/>
        <v>0</v>
      </c>
    </row>
    <row r="241" spans="1:25" ht="14.45">
      <c r="A241" s="3" t="s">
        <v>115</v>
      </c>
      <c r="B241" s="4">
        <v>45748</v>
      </c>
      <c r="C241" s="3" t="s">
        <v>61</v>
      </c>
      <c r="D241" s="3" t="s">
        <v>62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f t="shared" si="33"/>
        <v>4.62</v>
      </c>
      <c r="L241" s="3">
        <f t="shared" si="34"/>
        <v>0</v>
      </c>
      <c r="M241" s="3">
        <v>0</v>
      </c>
      <c r="N241" s="3">
        <v>3.3</v>
      </c>
      <c r="O241" s="3">
        <f t="shared" si="35"/>
        <v>3.3</v>
      </c>
      <c r="P241" s="3">
        <f t="shared" si="36"/>
        <v>0</v>
      </c>
      <c r="Q241" s="3">
        <v>737070.18</v>
      </c>
      <c r="R241" s="3">
        <v>117593.97</v>
      </c>
      <c r="S241" s="3">
        <f t="shared" si="37"/>
        <v>0</v>
      </c>
      <c r="T241" s="3">
        <f t="shared" si="38"/>
        <v>1</v>
      </c>
      <c r="U241" s="3">
        <f t="shared" si="39"/>
        <v>0</v>
      </c>
      <c r="V241" s="3">
        <f t="shared" si="40"/>
        <v>0</v>
      </c>
      <c r="W241" s="3">
        <f t="shared" si="41"/>
        <v>0</v>
      </c>
      <c r="X241" s="3">
        <f t="shared" si="42"/>
        <v>1</v>
      </c>
      <c r="Y241" s="3">
        <f t="shared" si="43"/>
        <v>0</v>
      </c>
    </row>
    <row r="242" spans="1:25" ht="14.45">
      <c r="A242" s="3" t="s">
        <v>116</v>
      </c>
      <c r="B242" s="4">
        <v>45658</v>
      </c>
      <c r="C242" s="3" t="s">
        <v>58</v>
      </c>
      <c r="D242" s="3" t="s">
        <v>55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f t="shared" si="33"/>
        <v>10.68</v>
      </c>
      <c r="L242" s="3">
        <f t="shared" si="34"/>
        <v>0</v>
      </c>
      <c r="M242" s="3">
        <v>1</v>
      </c>
      <c r="N242" s="3">
        <v>2.9</v>
      </c>
      <c r="O242" s="3">
        <f t="shared" si="35"/>
        <v>2.9</v>
      </c>
      <c r="P242" s="3">
        <f t="shared" si="36"/>
        <v>0</v>
      </c>
      <c r="Q242" s="3">
        <v>776992.93</v>
      </c>
      <c r="R242" s="3">
        <v>101598.32</v>
      </c>
      <c r="S242" s="3">
        <f t="shared" si="37"/>
        <v>0</v>
      </c>
      <c r="T242" s="3">
        <f t="shared" si="38"/>
        <v>0</v>
      </c>
      <c r="U242" s="3">
        <f t="shared" si="39"/>
        <v>0</v>
      </c>
      <c r="V242" s="3">
        <f t="shared" si="40"/>
        <v>0</v>
      </c>
      <c r="W242" s="3">
        <f t="shared" si="41"/>
        <v>1</v>
      </c>
      <c r="X242" s="3">
        <f t="shared" si="42"/>
        <v>0</v>
      </c>
      <c r="Y242" s="3">
        <f t="shared" si="43"/>
        <v>0</v>
      </c>
    </row>
    <row r="243" spans="1:25" ht="14.45">
      <c r="A243" s="3" t="s">
        <v>116</v>
      </c>
      <c r="B243" s="4">
        <v>45689</v>
      </c>
      <c r="C243" s="3" t="s">
        <v>58</v>
      </c>
      <c r="D243" s="3" t="s">
        <v>55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f t="shared" si="33"/>
        <v>4.04</v>
      </c>
      <c r="L243" s="3">
        <f t="shared" si="34"/>
        <v>0</v>
      </c>
      <c r="M243" s="3">
        <v>0</v>
      </c>
      <c r="N243" s="3">
        <v>3.7</v>
      </c>
      <c r="O243" s="3">
        <f t="shared" si="35"/>
        <v>3.7</v>
      </c>
      <c r="P243" s="3">
        <f t="shared" si="36"/>
        <v>0</v>
      </c>
      <c r="Q243" s="3">
        <v>676337.41</v>
      </c>
      <c r="R243" s="3">
        <v>104355.77</v>
      </c>
      <c r="S243" s="3">
        <f t="shared" si="37"/>
        <v>0</v>
      </c>
      <c r="T243" s="3">
        <f t="shared" si="38"/>
        <v>0</v>
      </c>
      <c r="U243" s="3">
        <f t="shared" si="39"/>
        <v>0</v>
      </c>
      <c r="V243" s="3">
        <f t="shared" si="40"/>
        <v>0</v>
      </c>
      <c r="W243" s="3">
        <f t="shared" si="41"/>
        <v>1</v>
      </c>
      <c r="X243" s="3">
        <f t="shared" si="42"/>
        <v>0</v>
      </c>
      <c r="Y243" s="3">
        <f t="shared" si="43"/>
        <v>0</v>
      </c>
    </row>
    <row r="244" spans="1:25" ht="14.45">
      <c r="A244" s="3" t="s">
        <v>116</v>
      </c>
      <c r="B244" s="4">
        <v>45717</v>
      </c>
      <c r="C244" s="3" t="s">
        <v>58</v>
      </c>
      <c r="D244" s="3" t="s">
        <v>55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f t="shared" si="33"/>
        <v>1.87</v>
      </c>
      <c r="L244" s="3">
        <f t="shared" si="34"/>
        <v>0</v>
      </c>
      <c r="M244" s="3">
        <v>0</v>
      </c>
      <c r="N244" s="3">
        <v>3.5</v>
      </c>
      <c r="O244" s="3">
        <f t="shared" si="35"/>
        <v>3.5</v>
      </c>
      <c r="P244" s="3">
        <f t="shared" si="36"/>
        <v>0</v>
      </c>
      <c r="Q244" s="3">
        <v>828219.67</v>
      </c>
      <c r="R244" s="3">
        <v>179806.87</v>
      </c>
      <c r="S244" s="3">
        <f t="shared" si="37"/>
        <v>0</v>
      </c>
      <c r="T244" s="3">
        <f t="shared" si="38"/>
        <v>0</v>
      </c>
      <c r="U244" s="3">
        <f t="shared" si="39"/>
        <v>0</v>
      </c>
      <c r="V244" s="3">
        <f t="shared" si="40"/>
        <v>0</v>
      </c>
      <c r="W244" s="3">
        <f t="shared" si="41"/>
        <v>1</v>
      </c>
      <c r="X244" s="3">
        <f t="shared" si="42"/>
        <v>0</v>
      </c>
      <c r="Y244" s="3">
        <f t="shared" si="43"/>
        <v>0</v>
      </c>
    </row>
    <row r="245" spans="1:25" ht="14.45">
      <c r="A245" s="3" t="s">
        <v>116</v>
      </c>
      <c r="B245" s="4">
        <v>45748</v>
      </c>
      <c r="C245" s="3" t="s">
        <v>58</v>
      </c>
      <c r="D245" s="3" t="s">
        <v>55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f t="shared" si="33"/>
        <v>2.83</v>
      </c>
      <c r="L245" s="3">
        <f t="shared" si="34"/>
        <v>0</v>
      </c>
      <c r="M245" s="3">
        <v>0</v>
      </c>
      <c r="N245" s="3">
        <v>3</v>
      </c>
      <c r="O245" s="3">
        <f t="shared" si="35"/>
        <v>3</v>
      </c>
      <c r="P245" s="3">
        <f t="shared" si="36"/>
        <v>0</v>
      </c>
      <c r="Q245" s="3">
        <v>763159.92</v>
      </c>
      <c r="R245" s="3">
        <v>177104.87</v>
      </c>
      <c r="S245" s="3">
        <f t="shared" si="37"/>
        <v>0</v>
      </c>
      <c r="T245" s="3">
        <f t="shared" si="38"/>
        <v>0</v>
      </c>
      <c r="U245" s="3">
        <f t="shared" si="39"/>
        <v>0</v>
      </c>
      <c r="V245" s="3">
        <f t="shared" si="40"/>
        <v>0</v>
      </c>
      <c r="W245" s="3">
        <f t="shared" si="41"/>
        <v>1</v>
      </c>
      <c r="X245" s="3">
        <f t="shared" si="42"/>
        <v>0</v>
      </c>
      <c r="Y245" s="3">
        <f t="shared" si="43"/>
        <v>0</v>
      </c>
    </row>
    <row r="246" spans="1:25" ht="14.45">
      <c r="A246" s="3" t="s">
        <v>117</v>
      </c>
      <c r="B246" s="4">
        <v>45658</v>
      </c>
      <c r="C246" s="3" t="s">
        <v>49</v>
      </c>
      <c r="D246" s="3" t="s">
        <v>52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f t="shared" si="33"/>
        <v>0.95</v>
      </c>
      <c r="L246" s="3">
        <f t="shared" si="34"/>
        <v>0</v>
      </c>
      <c r="M246" s="3">
        <v>0</v>
      </c>
      <c r="N246" s="3">
        <v>3.2</v>
      </c>
      <c r="O246" s="3">
        <f t="shared" si="35"/>
        <v>3.2</v>
      </c>
      <c r="P246" s="3">
        <f t="shared" si="36"/>
        <v>0</v>
      </c>
      <c r="Q246" s="3">
        <v>802001.68</v>
      </c>
      <c r="R246" s="3">
        <v>159715.82</v>
      </c>
      <c r="S246" s="3">
        <f t="shared" si="37"/>
        <v>1</v>
      </c>
      <c r="T246" s="3">
        <f t="shared" si="38"/>
        <v>0</v>
      </c>
      <c r="U246" s="3">
        <f t="shared" si="39"/>
        <v>0</v>
      </c>
      <c r="V246" s="3">
        <f t="shared" si="40"/>
        <v>0</v>
      </c>
      <c r="W246" s="3">
        <f t="shared" si="41"/>
        <v>0</v>
      </c>
      <c r="X246" s="3">
        <f t="shared" si="42"/>
        <v>0</v>
      </c>
      <c r="Y246" s="3">
        <f t="shared" si="43"/>
        <v>1</v>
      </c>
    </row>
    <row r="247" spans="1:25" ht="14.45">
      <c r="A247" s="3" t="s">
        <v>117</v>
      </c>
      <c r="B247" s="4">
        <v>45689</v>
      </c>
      <c r="C247" s="3" t="s">
        <v>49</v>
      </c>
      <c r="D247" s="3" t="s">
        <v>52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f t="shared" si="33"/>
        <v>0.8</v>
      </c>
      <c r="L247" s="3">
        <f t="shared" si="34"/>
        <v>0</v>
      </c>
      <c r="M247" s="3">
        <v>0</v>
      </c>
      <c r="N247" s="3">
        <v>3.4</v>
      </c>
      <c r="O247" s="3">
        <f t="shared" si="35"/>
        <v>3.4</v>
      </c>
      <c r="P247" s="3">
        <f t="shared" si="36"/>
        <v>0</v>
      </c>
      <c r="Q247" s="3">
        <v>750471.34</v>
      </c>
      <c r="R247" s="3">
        <v>133788.04</v>
      </c>
      <c r="S247" s="3">
        <f t="shared" si="37"/>
        <v>1</v>
      </c>
      <c r="T247" s="3">
        <f t="shared" si="38"/>
        <v>0</v>
      </c>
      <c r="U247" s="3">
        <f t="shared" si="39"/>
        <v>0</v>
      </c>
      <c r="V247" s="3">
        <f t="shared" si="40"/>
        <v>0</v>
      </c>
      <c r="W247" s="3">
        <f t="shared" si="41"/>
        <v>0</v>
      </c>
      <c r="X247" s="3">
        <f t="shared" si="42"/>
        <v>0</v>
      </c>
      <c r="Y247" s="3">
        <f t="shared" si="43"/>
        <v>1</v>
      </c>
    </row>
    <row r="248" spans="1:25" ht="14.45">
      <c r="A248" s="3" t="s">
        <v>117</v>
      </c>
      <c r="B248" s="4">
        <v>45717</v>
      </c>
      <c r="C248" s="3" t="s">
        <v>49</v>
      </c>
      <c r="D248" s="3" t="s">
        <v>52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f t="shared" si="33"/>
        <v>0.2</v>
      </c>
      <c r="L248" s="3">
        <f t="shared" si="34"/>
        <v>0</v>
      </c>
      <c r="M248" s="3">
        <v>0</v>
      </c>
      <c r="N248" s="3">
        <v>3.1</v>
      </c>
      <c r="O248" s="3">
        <f t="shared" si="35"/>
        <v>3.1</v>
      </c>
      <c r="P248" s="3">
        <f t="shared" si="36"/>
        <v>0</v>
      </c>
      <c r="Q248" s="3">
        <v>679230.86</v>
      </c>
      <c r="R248" s="3">
        <v>106927.58</v>
      </c>
      <c r="S248" s="3">
        <f t="shared" si="37"/>
        <v>1</v>
      </c>
      <c r="T248" s="3">
        <f t="shared" si="38"/>
        <v>0</v>
      </c>
      <c r="U248" s="3">
        <f t="shared" si="39"/>
        <v>0</v>
      </c>
      <c r="V248" s="3">
        <f t="shared" si="40"/>
        <v>0</v>
      </c>
      <c r="W248" s="3">
        <f t="shared" si="41"/>
        <v>0</v>
      </c>
      <c r="X248" s="3">
        <f t="shared" si="42"/>
        <v>0</v>
      </c>
      <c r="Y248" s="3">
        <f t="shared" si="43"/>
        <v>1</v>
      </c>
    </row>
    <row r="249" spans="1:25" ht="14.45">
      <c r="A249" s="3" t="s">
        <v>117</v>
      </c>
      <c r="B249" s="4">
        <v>45748</v>
      </c>
      <c r="C249" s="3" t="s">
        <v>49</v>
      </c>
      <c r="D249" s="3" t="s">
        <v>52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f t="shared" si="33"/>
        <v>1.7</v>
      </c>
      <c r="L249" s="3">
        <f t="shared" si="34"/>
        <v>0</v>
      </c>
      <c r="M249" s="3">
        <v>0</v>
      </c>
      <c r="N249" s="3">
        <v>3.3</v>
      </c>
      <c r="O249" s="3">
        <f t="shared" si="35"/>
        <v>3.3</v>
      </c>
      <c r="P249" s="3">
        <f t="shared" si="36"/>
        <v>0</v>
      </c>
      <c r="Q249" s="3">
        <v>679888.74</v>
      </c>
      <c r="R249" s="3">
        <v>83406.89</v>
      </c>
      <c r="S249" s="3">
        <f t="shared" si="37"/>
        <v>1</v>
      </c>
      <c r="T249" s="3">
        <f t="shared" si="38"/>
        <v>0</v>
      </c>
      <c r="U249" s="3">
        <f t="shared" si="39"/>
        <v>0</v>
      </c>
      <c r="V249" s="3">
        <f t="shared" si="40"/>
        <v>0</v>
      </c>
      <c r="W249" s="3">
        <f t="shared" si="41"/>
        <v>0</v>
      </c>
      <c r="X249" s="3">
        <f t="shared" si="42"/>
        <v>0</v>
      </c>
      <c r="Y249" s="3">
        <f t="shared" si="43"/>
        <v>1</v>
      </c>
    </row>
    <row r="250" spans="1:25" ht="14.45">
      <c r="A250" s="3" t="s">
        <v>118</v>
      </c>
      <c r="B250" s="4">
        <v>45658</v>
      </c>
      <c r="C250" s="3" t="s">
        <v>54</v>
      </c>
      <c r="D250" s="3" t="s">
        <v>52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f t="shared" si="33"/>
        <v>3.3650000000000002</v>
      </c>
      <c r="L250" s="3">
        <f t="shared" si="34"/>
        <v>1</v>
      </c>
      <c r="M250" s="3">
        <v>0</v>
      </c>
      <c r="N250" s="3">
        <v>3.8</v>
      </c>
      <c r="O250" s="3">
        <f t="shared" si="35"/>
        <v>3.8</v>
      </c>
      <c r="P250" s="3">
        <f t="shared" si="36"/>
        <v>0</v>
      </c>
      <c r="Q250" s="3">
        <v>606783.67000000004</v>
      </c>
      <c r="R250" s="3">
        <v>74515.87</v>
      </c>
      <c r="S250" s="3">
        <f t="shared" si="37"/>
        <v>1</v>
      </c>
      <c r="T250" s="3">
        <f t="shared" si="38"/>
        <v>0</v>
      </c>
      <c r="U250" s="3">
        <f t="shared" si="39"/>
        <v>0</v>
      </c>
      <c r="V250" s="3">
        <f t="shared" si="40"/>
        <v>1</v>
      </c>
      <c r="W250" s="3">
        <f t="shared" si="41"/>
        <v>0</v>
      </c>
      <c r="X250" s="3">
        <f t="shared" si="42"/>
        <v>0</v>
      </c>
      <c r="Y250" s="3">
        <f t="shared" si="43"/>
        <v>0</v>
      </c>
    </row>
    <row r="251" spans="1:25" ht="14.45">
      <c r="A251" s="3" t="s">
        <v>118</v>
      </c>
      <c r="B251" s="4">
        <v>45689</v>
      </c>
      <c r="C251" s="3" t="s">
        <v>54</v>
      </c>
      <c r="D251" s="3" t="s">
        <v>52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f t="shared" si="33"/>
        <v>5.0999999999999996</v>
      </c>
      <c r="L251" s="3">
        <f t="shared" si="34"/>
        <v>0</v>
      </c>
      <c r="M251" s="3">
        <v>0</v>
      </c>
      <c r="N251" s="3">
        <v>3.6</v>
      </c>
      <c r="O251" s="3">
        <f t="shared" si="35"/>
        <v>3.6</v>
      </c>
      <c r="P251" s="3">
        <f t="shared" si="36"/>
        <v>0</v>
      </c>
      <c r="Q251" s="3">
        <v>642751.42000000004</v>
      </c>
      <c r="R251" s="3">
        <v>131942.15</v>
      </c>
      <c r="S251" s="3">
        <f t="shared" si="37"/>
        <v>1</v>
      </c>
      <c r="T251" s="3">
        <f t="shared" si="38"/>
        <v>0</v>
      </c>
      <c r="U251" s="3">
        <f t="shared" si="39"/>
        <v>0</v>
      </c>
      <c r="V251" s="3">
        <f t="shared" si="40"/>
        <v>1</v>
      </c>
      <c r="W251" s="3">
        <f t="shared" si="41"/>
        <v>0</v>
      </c>
      <c r="X251" s="3">
        <f t="shared" si="42"/>
        <v>0</v>
      </c>
      <c r="Y251" s="3">
        <f t="shared" si="43"/>
        <v>0</v>
      </c>
    </row>
    <row r="252" spans="1:25" ht="14.45">
      <c r="A252" s="3" t="s">
        <v>118</v>
      </c>
      <c r="B252" s="4">
        <v>45717</v>
      </c>
      <c r="C252" s="3" t="s">
        <v>54</v>
      </c>
      <c r="D252" s="3" t="s">
        <v>52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f t="shared" si="33"/>
        <v>0.83</v>
      </c>
      <c r="L252" s="3">
        <f t="shared" si="34"/>
        <v>0</v>
      </c>
      <c r="M252" s="3">
        <v>0</v>
      </c>
      <c r="N252" s="3">
        <v>4</v>
      </c>
      <c r="O252" s="3">
        <f t="shared" si="35"/>
        <v>4</v>
      </c>
      <c r="P252" s="3">
        <f t="shared" si="36"/>
        <v>0</v>
      </c>
      <c r="Q252" s="3">
        <v>647953.78</v>
      </c>
      <c r="R252" s="3">
        <v>118497.43</v>
      </c>
      <c r="S252" s="3">
        <f t="shared" si="37"/>
        <v>1</v>
      </c>
      <c r="T252" s="3">
        <f t="shared" si="38"/>
        <v>0</v>
      </c>
      <c r="U252" s="3">
        <f t="shared" si="39"/>
        <v>0</v>
      </c>
      <c r="V252" s="3">
        <f t="shared" si="40"/>
        <v>1</v>
      </c>
      <c r="W252" s="3">
        <f t="shared" si="41"/>
        <v>0</v>
      </c>
      <c r="X252" s="3">
        <f t="shared" si="42"/>
        <v>0</v>
      </c>
      <c r="Y252" s="3">
        <f t="shared" si="43"/>
        <v>0</v>
      </c>
    </row>
    <row r="253" spans="1:25" ht="14.45">
      <c r="A253" s="3" t="s">
        <v>118</v>
      </c>
      <c r="B253" s="4">
        <v>45748</v>
      </c>
      <c r="C253" s="3" t="s">
        <v>54</v>
      </c>
      <c r="D253" s="3" t="s">
        <v>52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f t="shared" si="33"/>
        <v>1.1399999999999999</v>
      </c>
      <c r="L253" s="3">
        <f t="shared" si="34"/>
        <v>0</v>
      </c>
      <c r="M253" s="3">
        <v>0</v>
      </c>
      <c r="N253" s="3">
        <v>4</v>
      </c>
      <c r="O253" s="3">
        <f t="shared" si="35"/>
        <v>4</v>
      </c>
      <c r="P253" s="3">
        <f t="shared" si="36"/>
        <v>0</v>
      </c>
      <c r="Q253" s="3">
        <v>729440.45</v>
      </c>
      <c r="R253" s="3">
        <v>87614.29</v>
      </c>
      <c r="S253" s="3">
        <f t="shared" si="37"/>
        <v>1</v>
      </c>
      <c r="T253" s="3">
        <f t="shared" si="38"/>
        <v>0</v>
      </c>
      <c r="U253" s="3">
        <f t="shared" si="39"/>
        <v>0</v>
      </c>
      <c r="V253" s="3">
        <f t="shared" si="40"/>
        <v>1</v>
      </c>
      <c r="W253" s="3">
        <f t="shared" si="41"/>
        <v>0</v>
      </c>
      <c r="X253" s="3">
        <f t="shared" si="42"/>
        <v>0</v>
      </c>
      <c r="Y253" s="3">
        <f t="shared" si="43"/>
        <v>0</v>
      </c>
    </row>
    <row r="254" spans="1:25" ht="14.45">
      <c r="A254" s="3" t="s">
        <v>119</v>
      </c>
      <c r="B254" s="4">
        <v>45658</v>
      </c>
      <c r="C254" s="3" t="s">
        <v>58</v>
      </c>
      <c r="D254" s="3" t="s">
        <v>55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f t="shared" si="33"/>
        <v>9.5399999999999991</v>
      </c>
      <c r="L254" s="3">
        <f t="shared" si="34"/>
        <v>0</v>
      </c>
      <c r="M254" s="3">
        <v>0</v>
      </c>
      <c r="N254" s="3">
        <v>3.7</v>
      </c>
      <c r="O254" s="3">
        <f t="shared" si="35"/>
        <v>3.7</v>
      </c>
      <c r="P254" s="3">
        <f t="shared" si="36"/>
        <v>0</v>
      </c>
      <c r="Q254" s="3">
        <v>764949</v>
      </c>
      <c r="R254" s="3">
        <v>148322.43</v>
      </c>
      <c r="S254" s="3">
        <f t="shared" si="37"/>
        <v>0</v>
      </c>
      <c r="T254" s="3">
        <f t="shared" si="38"/>
        <v>0</v>
      </c>
      <c r="U254" s="3">
        <f t="shared" si="39"/>
        <v>0</v>
      </c>
      <c r="V254" s="3">
        <f t="shared" si="40"/>
        <v>0</v>
      </c>
      <c r="W254" s="3">
        <f t="shared" si="41"/>
        <v>1</v>
      </c>
      <c r="X254" s="3">
        <f t="shared" si="42"/>
        <v>0</v>
      </c>
      <c r="Y254" s="3">
        <f t="shared" si="43"/>
        <v>0</v>
      </c>
    </row>
    <row r="255" spans="1:25" ht="14.45">
      <c r="A255" s="3" t="s">
        <v>119</v>
      </c>
      <c r="B255" s="4">
        <v>45689</v>
      </c>
      <c r="C255" s="3" t="s">
        <v>58</v>
      </c>
      <c r="D255" s="3" t="s">
        <v>55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f t="shared" si="33"/>
        <v>5.48</v>
      </c>
      <c r="L255" s="3">
        <f t="shared" si="34"/>
        <v>0</v>
      </c>
      <c r="M255" s="3">
        <v>0</v>
      </c>
      <c r="N255" s="3">
        <v>3.2</v>
      </c>
      <c r="O255" s="3">
        <f t="shared" si="35"/>
        <v>3.2</v>
      </c>
      <c r="P255" s="3">
        <f t="shared" si="36"/>
        <v>0</v>
      </c>
      <c r="Q255" s="3">
        <v>799046.94</v>
      </c>
      <c r="R255" s="3">
        <v>144553.64000000001</v>
      </c>
      <c r="S255" s="3">
        <f t="shared" si="37"/>
        <v>0</v>
      </c>
      <c r="T255" s="3">
        <f t="shared" si="38"/>
        <v>0</v>
      </c>
      <c r="U255" s="3">
        <f t="shared" si="39"/>
        <v>0</v>
      </c>
      <c r="V255" s="3">
        <f t="shared" si="40"/>
        <v>0</v>
      </c>
      <c r="W255" s="3">
        <f t="shared" si="41"/>
        <v>1</v>
      </c>
      <c r="X255" s="3">
        <f t="shared" si="42"/>
        <v>0</v>
      </c>
      <c r="Y255" s="3">
        <f t="shared" si="43"/>
        <v>0</v>
      </c>
    </row>
    <row r="256" spans="1:25" ht="14.45">
      <c r="A256" s="3" t="s">
        <v>119</v>
      </c>
      <c r="B256" s="4">
        <v>45717</v>
      </c>
      <c r="C256" s="3" t="s">
        <v>58</v>
      </c>
      <c r="D256" s="3" t="s">
        <v>55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f t="shared" si="33"/>
        <v>0.84</v>
      </c>
      <c r="L256" s="3">
        <f t="shared" si="34"/>
        <v>0</v>
      </c>
      <c r="M256" s="3">
        <v>0</v>
      </c>
      <c r="N256" s="3">
        <v>3.6</v>
      </c>
      <c r="O256" s="3">
        <f t="shared" si="35"/>
        <v>3.6</v>
      </c>
      <c r="P256" s="3">
        <f t="shared" si="36"/>
        <v>0</v>
      </c>
      <c r="Q256" s="3">
        <v>720079.54</v>
      </c>
      <c r="R256" s="3">
        <v>119499.47</v>
      </c>
      <c r="S256" s="3">
        <f t="shared" si="37"/>
        <v>0</v>
      </c>
      <c r="T256" s="3">
        <f t="shared" si="38"/>
        <v>0</v>
      </c>
      <c r="U256" s="3">
        <f t="shared" si="39"/>
        <v>0</v>
      </c>
      <c r="V256" s="3">
        <f t="shared" si="40"/>
        <v>0</v>
      </c>
      <c r="W256" s="3">
        <f t="shared" si="41"/>
        <v>1</v>
      </c>
      <c r="X256" s="3">
        <f t="shared" si="42"/>
        <v>0</v>
      </c>
      <c r="Y256" s="3">
        <f t="shared" si="43"/>
        <v>0</v>
      </c>
    </row>
    <row r="257" spans="1:25" ht="14.45">
      <c r="A257" s="3" t="s">
        <v>119</v>
      </c>
      <c r="B257" s="4">
        <v>45748</v>
      </c>
      <c r="C257" s="3" t="s">
        <v>58</v>
      </c>
      <c r="D257" s="3" t="s">
        <v>55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f t="shared" si="33"/>
        <v>4.1900000000000004</v>
      </c>
      <c r="L257" s="3">
        <f t="shared" si="34"/>
        <v>0</v>
      </c>
      <c r="M257" s="3">
        <v>0</v>
      </c>
      <c r="N257" s="3">
        <v>4.0999999999999996</v>
      </c>
      <c r="O257" s="3">
        <f t="shared" si="35"/>
        <v>4.0999999999999996</v>
      </c>
      <c r="P257" s="3">
        <f t="shared" si="36"/>
        <v>0</v>
      </c>
      <c r="Q257" s="3">
        <v>612390.14</v>
      </c>
      <c r="R257" s="3">
        <v>108985.74</v>
      </c>
      <c r="S257" s="3">
        <f t="shared" si="37"/>
        <v>0</v>
      </c>
      <c r="T257" s="3">
        <f t="shared" si="38"/>
        <v>0</v>
      </c>
      <c r="U257" s="3">
        <f t="shared" si="39"/>
        <v>0</v>
      </c>
      <c r="V257" s="3">
        <f t="shared" si="40"/>
        <v>0</v>
      </c>
      <c r="W257" s="3">
        <f t="shared" si="41"/>
        <v>1</v>
      </c>
      <c r="X257" s="3">
        <f t="shared" si="42"/>
        <v>0</v>
      </c>
      <c r="Y257" s="3">
        <f t="shared" si="43"/>
        <v>0</v>
      </c>
    </row>
    <row r="258" spans="1:25" ht="14.45">
      <c r="A258" s="3" t="s">
        <v>120</v>
      </c>
      <c r="B258" s="4">
        <v>45658</v>
      </c>
      <c r="C258" s="3" t="s">
        <v>58</v>
      </c>
      <c r="D258" s="3" t="s">
        <v>62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f t="shared" si="33"/>
        <v>1.26</v>
      </c>
      <c r="L258" s="3">
        <f t="shared" si="34"/>
        <v>0</v>
      </c>
      <c r="M258" s="3">
        <v>1</v>
      </c>
      <c r="N258" s="3">
        <v>4.3</v>
      </c>
      <c r="O258" s="3">
        <f t="shared" si="35"/>
        <v>4.3</v>
      </c>
      <c r="P258" s="3">
        <f t="shared" si="36"/>
        <v>0</v>
      </c>
      <c r="Q258" s="3">
        <v>840108.12</v>
      </c>
      <c r="R258" s="3">
        <v>126587.01</v>
      </c>
      <c r="S258" s="3">
        <f t="shared" si="37"/>
        <v>0</v>
      </c>
      <c r="T258" s="3">
        <f t="shared" si="38"/>
        <v>1</v>
      </c>
      <c r="U258" s="3">
        <f t="shared" si="39"/>
        <v>0</v>
      </c>
      <c r="V258" s="3">
        <f t="shared" si="40"/>
        <v>0</v>
      </c>
      <c r="W258" s="3">
        <f t="shared" si="41"/>
        <v>1</v>
      </c>
      <c r="X258" s="3">
        <f t="shared" si="42"/>
        <v>0</v>
      </c>
      <c r="Y258" s="3">
        <f t="shared" si="43"/>
        <v>0</v>
      </c>
    </row>
    <row r="259" spans="1:25" ht="14.45">
      <c r="A259" s="3" t="s">
        <v>120</v>
      </c>
      <c r="B259" s="4">
        <v>45689</v>
      </c>
      <c r="C259" s="3" t="s">
        <v>58</v>
      </c>
      <c r="D259" s="3" t="s">
        <v>62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f t="shared" ref="K259:K321" si="44">IF(ISBLANK(J259),MEDIAN($J$2:$J$321),J259)</f>
        <v>2.74</v>
      </c>
      <c r="L259" s="3">
        <f t="shared" ref="L259:L321" si="45">IF(ISBLANK(J259),1,0)</f>
        <v>0</v>
      </c>
      <c r="M259" s="3">
        <v>0</v>
      </c>
      <c r="N259" s="3">
        <v>4.5999999999999996</v>
      </c>
      <c r="O259" s="3">
        <f t="shared" ref="O259:O321" si="46">IF(ISBLANK(N259),MEDIAN($N$2:$N$321),N259)</f>
        <v>4.5999999999999996</v>
      </c>
      <c r="P259" s="3">
        <f t="shared" ref="P259:P321" si="47">IF(ISBLANK(N259),1,0)</f>
        <v>0</v>
      </c>
      <c r="Q259" s="3">
        <v>697888.09</v>
      </c>
      <c r="R259" s="3">
        <v>116249.87</v>
      </c>
      <c r="S259" s="3">
        <f t="shared" ref="S259:S321" si="48">IF(D259="High Street",1,0)</f>
        <v>0</v>
      </c>
      <c r="T259" s="3">
        <f t="shared" ref="T259:T321" si="49">IF(D259="Mall",1,0)</f>
        <v>1</v>
      </c>
      <c r="U259" s="3">
        <f t="shared" ref="U259:U321" si="50">IF(D259="Residential",1,0)</f>
        <v>0</v>
      </c>
      <c r="V259" s="3">
        <f t="shared" ref="V259:V321" si="51">IF(C259="North",1,0)</f>
        <v>0</v>
      </c>
      <c r="W259" s="3">
        <f t="shared" ref="W259:W321" si="52">IF(C259="South",1,0)</f>
        <v>1</v>
      </c>
      <c r="X259" s="3">
        <f t="shared" ref="X259:X321" si="53">IF(C259="West",1,0)</f>
        <v>0</v>
      </c>
      <c r="Y259" s="3">
        <f t="shared" ref="Y259:Y321" si="54">IF(C259="East",1,0)</f>
        <v>0</v>
      </c>
    </row>
    <row r="260" spans="1:25" ht="14.45">
      <c r="A260" s="3" t="s">
        <v>120</v>
      </c>
      <c r="B260" s="4">
        <v>45717</v>
      </c>
      <c r="C260" s="3" t="s">
        <v>58</v>
      </c>
      <c r="D260" s="3" t="s">
        <v>62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f t="shared" si="44"/>
        <v>3.69</v>
      </c>
      <c r="L260" s="3">
        <f t="shared" si="45"/>
        <v>0</v>
      </c>
      <c r="M260" s="3">
        <v>0</v>
      </c>
      <c r="N260" s="3">
        <v>4.4000000000000004</v>
      </c>
      <c r="O260" s="3">
        <f t="shared" si="46"/>
        <v>4.4000000000000004</v>
      </c>
      <c r="P260" s="3">
        <f t="shared" si="47"/>
        <v>0</v>
      </c>
      <c r="Q260" s="3">
        <v>746115.59</v>
      </c>
      <c r="R260" s="3">
        <v>94662.96</v>
      </c>
      <c r="S260" s="3">
        <f t="shared" si="48"/>
        <v>0</v>
      </c>
      <c r="T260" s="3">
        <f t="shared" si="49"/>
        <v>1</v>
      </c>
      <c r="U260" s="3">
        <f t="shared" si="50"/>
        <v>0</v>
      </c>
      <c r="V260" s="3">
        <f t="shared" si="51"/>
        <v>0</v>
      </c>
      <c r="W260" s="3">
        <f t="shared" si="52"/>
        <v>1</v>
      </c>
      <c r="X260" s="3">
        <f t="shared" si="53"/>
        <v>0</v>
      </c>
      <c r="Y260" s="3">
        <f t="shared" si="54"/>
        <v>0</v>
      </c>
    </row>
    <row r="261" spans="1:25" ht="14.45">
      <c r="A261" s="3" t="s">
        <v>120</v>
      </c>
      <c r="B261" s="4">
        <v>45748</v>
      </c>
      <c r="C261" s="3" t="s">
        <v>58</v>
      </c>
      <c r="D261" s="3" t="s">
        <v>62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f t="shared" si="44"/>
        <v>1.82</v>
      </c>
      <c r="L261" s="3">
        <f t="shared" si="45"/>
        <v>0</v>
      </c>
      <c r="M261" s="3">
        <v>0</v>
      </c>
      <c r="N261" s="3">
        <v>3.6</v>
      </c>
      <c r="O261" s="3">
        <f t="shared" si="46"/>
        <v>3.6</v>
      </c>
      <c r="P261" s="3">
        <f t="shared" si="47"/>
        <v>0</v>
      </c>
      <c r="Q261" s="3">
        <v>776110.32</v>
      </c>
      <c r="R261" s="3">
        <v>139676.21</v>
      </c>
      <c r="S261" s="3">
        <f t="shared" si="48"/>
        <v>0</v>
      </c>
      <c r="T261" s="3">
        <f t="shared" si="49"/>
        <v>1</v>
      </c>
      <c r="U261" s="3">
        <f t="shared" si="50"/>
        <v>0</v>
      </c>
      <c r="V261" s="3">
        <f t="shared" si="51"/>
        <v>0</v>
      </c>
      <c r="W261" s="3">
        <f t="shared" si="52"/>
        <v>1</v>
      </c>
      <c r="X261" s="3">
        <f t="shared" si="53"/>
        <v>0</v>
      </c>
      <c r="Y261" s="3">
        <f t="shared" si="54"/>
        <v>0</v>
      </c>
    </row>
    <row r="262" spans="1:25" ht="14.45">
      <c r="A262" s="3" t="s">
        <v>121</v>
      </c>
      <c r="B262" s="4">
        <v>45658</v>
      </c>
      <c r="C262" s="3" t="s">
        <v>61</v>
      </c>
      <c r="D262" s="3" t="s">
        <v>52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f t="shared" si="44"/>
        <v>6.62</v>
      </c>
      <c r="L262" s="3">
        <f t="shared" si="45"/>
        <v>0</v>
      </c>
      <c r="M262" s="3">
        <v>0</v>
      </c>
      <c r="N262" s="3">
        <v>4.2</v>
      </c>
      <c r="O262" s="3">
        <f t="shared" si="46"/>
        <v>4.2</v>
      </c>
      <c r="P262" s="3">
        <f t="shared" si="47"/>
        <v>0</v>
      </c>
      <c r="Q262" s="3">
        <v>528852.62</v>
      </c>
      <c r="R262" s="3">
        <v>68426.210000000006</v>
      </c>
      <c r="S262" s="3">
        <f t="shared" si="48"/>
        <v>1</v>
      </c>
      <c r="T262" s="3">
        <f t="shared" si="49"/>
        <v>0</v>
      </c>
      <c r="U262" s="3">
        <f t="shared" si="50"/>
        <v>0</v>
      </c>
      <c r="V262" s="3">
        <f t="shared" si="51"/>
        <v>0</v>
      </c>
      <c r="W262" s="3">
        <f t="shared" si="52"/>
        <v>0</v>
      </c>
      <c r="X262" s="3">
        <f t="shared" si="53"/>
        <v>1</v>
      </c>
      <c r="Y262" s="3">
        <f t="shared" si="54"/>
        <v>0</v>
      </c>
    </row>
    <row r="263" spans="1:25" ht="14.45">
      <c r="A263" s="3" t="s">
        <v>121</v>
      </c>
      <c r="B263" s="4">
        <v>45689</v>
      </c>
      <c r="C263" s="3" t="s">
        <v>61</v>
      </c>
      <c r="D263" s="3" t="s">
        <v>52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f t="shared" si="44"/>
        <v>3.3650000000000002</v>
      </c>
      <c r="L263" s="3">
        <f t="shared" si="45"/>
        <v>1</v>
      </c>
      <c r="M263" s="3">
        <v>0</v>
      </c>
      <c r="N263" s="3">
        <v>4.2</v>
      </c>
      <c r="O263" s="3">
        <f t="shared" si="46"/>
        <v>4.2</v>
      </c>
      <c r="P263" s="3">
        <f t="shared" si="47"/>
        <v>0</v>
      </c>
      <c r="Q263" s="3">
        <v>605751.32999999996</v>
      </c>
      <c r="R263" s="3">
        <v>60685.53</v>
      </c>
      <c r="S263" s="3">
        <f t="shared" si="48"/>
        <v>1</v>
      </c>
      <c r="T263" s="3">
        <f t="shared" si="49"/>
        <v>0</v>
      </c>
      <c r="U263" s="3">
        <f t="shared" si="50"/>
        <v>0</v>
      </c>
      <c r="V263" s="3">
        <f t="shared" si="51"/>
        <v>0</v>
      </c>
      <c r="W263" s="3">
        <f t="shared" si="52"/>
        <v>0</v>
      </c>
      <c r="X263" s="3">
        <f t="shared" si="53"/>
        <v>1</v>
      </c>
      <c r="Y263" s="3">
        <f t="shared" si="54"/>
        <v>0</v>
      </c>
    </row>
    <row r="264" spans="1:25" ht="14.45">
      <c r="A264" s="3" t="s">
        <v>121</v>
      </c>
      <c r="B264" s="4">
        <v>45717</v>
      </c>
      <c r="C264" s="3" t="s">
        <v>61</v>
      </c>
      <c r="D264" s="3" t="s">
        <v>52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f t="shared" si="44"/>
        <v>6.92</v>
      </c>
      <c r="L264" s="3">
        <f t="shared" si="45"/>
        <v>0</v>
      </c>
      <c r="M264" s="3">
        <v>1</v>
      </c>
      <c r="N264" s="3">
        <v>4.2</v>
      </c>
      <c r="O264" s="3">
        <f t="shared" si="46"/>
        <v>4.2</v>
      </c>
      <c r="P264" s="3">
        <f t="shared" si="47"/>
        <v>0</v>
      </c>
      <c r="Q264" s="3">
        <v>677640.65</v>
      </c>
      <c r="R264" s="3">
        <v>111610.89</v>
      </c>
      <c r="S264" s="3">
        <f t="shared" si="48"/>
        <v>1</v>
      </c>
      <c r="T264" s="3">
        <f t="shared" si="49"/>
        <v>0</v>
      </c>
      <c r="U264" s="3">
        <f t="shared" si="50"/>
        <v>0</v>
      </c>
      <c r="V264" s="3">
        <f t="shared" si="51"/>
        <v>0</v>
      </c>
      <c r="W264" s="3">
        <f t="shared" si="52"/>
        <v>0</v>
      </c>
      <c r="X264" s="3">
        <f t="shared" si="53"/>
        <v>1</v>
      </c>
      <c r="Y264" s="3">
        <f t="shared" si="54"/>
        <v>0</v>
      </c>
    </row>
    <row r="265" spans="1:25" ht="14.45">
      <c r="A265" s="3" t="s">
        <v>121</v>
      </c>
      <c r="B265" s="4">
        <v>45748</v>
      </c>
      <c r="C265" s="3" t="s">
        <v>61</v>
      </c>
      <c r="D265" s="3" t="s">
        <v>52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f t="shared" si="44"/>
        <v>11.78</v>
      </c>
      <c r="L265" s="3">
        <f t="shared" si="45"/>
        <v>0</v>
      </c>
      <c r="M265" s="3">
        <v>0</v>
      </c>
      <c r="N265" s="3">
        <v>3.7</v>
      </c>
      <c r="O265" s="3">
        <f t="shared" si="46"/>
        <v>3.7</v>
      </c>
      <c r="P265" s="3">
        <f t="shared" si="47"/>
        <v>0</v>
      </c>
      <c r="Q265" s="3">
        <v>636613.23</v>
      </c>
      <c r="R265" s="3">
        <v>78908.350000000006</v>
      </c>
      <c r="S265" s="3">
        <f t="shared" si="48"/>
        <v>1</v>
      </c>
      <c r="T265" s="3">
        <f t="shared" si="49"/>
        <v>0</v>
      </c>
      <c r="U265" s="3">
        <f t="shared" si="50"/>
        <v>0</v>
      </c>
      <c r="V265" s="3">
        <f t="shared" si="51"/>
        <v>0</v>
      </c>
      <c r="W265" s="3">
        <f t="shared" si="52"/>
        <v>0</v>
      </c>
      <c r="X265" s="3">
        <f t="shared" si="53"/>
        <v>1</v>
      </c>
      <c r="Y265" s="3">
        <f t="shared" si="54"/>
        <v>0</v>
      </c>
    </row>
    <row r="266" spans="1:25" ht="14.45">
      <c r="A266" s="3" t="s">
        <v>122</v>
      </c>
      <c r="B266" s="4">
        <v>45658</v>
      </c>
      <c r="C266" s="3" t="s">
        <v>49</v>
      </c>
      <c r="D266" s="3" t="s">
        <v>52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f t="shared" si="44"/>
        <v>0.5</v>
      </c>
      <c r="L266" s="3">
        <f t="shared" si="45"/>
        <v>0</v>
      </c>
      <c r="M266" s="3">
        <v>0</v>
      </c>
      <c r="N266" s="3">
        <v>3.5</v>
      </c>
      <c r="O266" s="3">
        <f t="shared" si="46"/>
        <v>3.5</v>
      </c>
      <c r="P266" s="3">
        <f t="shared" si="47"/>
        <v>0</v>
      </c>
      <c r="Q266" s="3">
        <v>708985.19</v>
      </c>
      <c r="R266" s="3">
        <v>125368.16</v>
      </c>
      <c r="S266" s="3">
        <f t="shared" si="48"/>
        <v>1</v>
      </c>
      <c r="T266" s="3">
        <f t="shared" si="49"/>
        <v>0</v>
      </c>
      <c r="U266" s="3">
        <f t="shared" si="50"/>
        <v>0</v>
      </c>
      <c r="V266" s="3">
        <f t="shared" si="51"/>
        <v>0</v>
      </c>
      <c r="W266" s="3">
        <f t="shared" si="52"/>
        <v>0</v>
      </c>
      <c r="X266" s="3">
        <f t="shared" si="53"/>
        <v>0</v>
      </c>
      <c r="Y266" s="3">
        <f t="shared" si="54"/>
        <v>1</v>
      </c>
    </row>
    <row r="267" spans="1:25" ht="14.45">
      <c r="A267" s="3" t="s">
        <v>122</v>
      </c>
      <c r="B267" s="4">
        <v>45689</v>
      </c>
      <c r="C267" s="3" t="s">
        <v>49</v>
      </c>
      <c r="D267" s="3" t="s">
        <v>52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f t="shared" si="44"/>
        <v>0.88</v>
      </c>
      <c r="L267" s="3">
        <f t="shared" si="45"/>
        <v>0</v>
      </c>
      <c r="M267" s="3">
        <v>0</v>
      </c>
      <c r="N267" s="3">
        <v>3.7</v>
      </c>
      <c r="O267" s="3">
        <f t="shared" si="46"/>
        <v>3.7</v>
      </c>
      <c r="P267" s="3">
        <f t="shared" si="47"/>
        <v>0</v>
      </c>
      <c r="Q267" s="3">
        <v>767792.94</v>
      </c>
      <c r="R267" s="3">
        <v>96235.77</v>
      </c>
      <c r="S267" s="3">
        <f t="shared" si="48"/>
        <v>1</v>
      </c>
      <c r="T267" s="3">
        <f t="shared" si="49"/>
        <v>0</v>
      </c>
      <c r="U267" s="3">
        <f t="shared" si="50"/>
        <v>0</v>
      </c>
      <c r="V267" s="3">
        <f t="shared" si="51"/>
        <v>0</v>
      </c>
      <c r="W267" s="3">
        <f t="shared" si="52"/>
        <v>0</v>
      </c>
      <c r="X267" s="3">
        <f t="shared" si="53"/>
        <v>0</v>
      </c>
      <c r="Y267" s="3">
        <f t="shared" si="54"/>
        <v>1</v>
      </c>
    </row>
    <row r="268" spans="1:25" ht="14.45">
      <c r="A268" s="3" t="s">
        <v>122</v>
      </c>
      <c r="B268" s="4">
        <v>45717</v>
      </c>
      <c r="C268" s="3" t="s">
        <v>49</v>
      </c>
      <c r="D268" s="3" t="s">
        <v>52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f t="shared" si="44"/>
        <v>2.25</v>
      </c>
      <c r="L268" s="3">
        <f t="shared" si="45"/>
        <v>0</v>
      </c>
      <c r="M268" s="3">
        <v>0</v>
      </c>
      <c r="N268" s="3">
        <v>3.7</v>
      </c>
      <c r="O268" s="3">
        <f t="shared" si="46"/>
        <v>3.7</v>
      </c>
      <c r="P268" s="3">
        <f t="shared" si="47"/>
        <v>0</v>
      </c>
      <c r="Q268" s="3">
        <v>745580.51</v>
      </c>
      <c r="R268" s="3">
        <v>116273.68</v>
      </c>
      <c r="S268" s="3">
        <f t="shared" si="48"/>
        <v>1</v>
      </c>
      <c r="T268" s="3">
        <f t="shared" si="49"/>
        <v>0</v>
      </c>
      <c r="U268" s="3">
        <f t="shared" si="50"/>
        <v>0</v>
      </c>
      <c r="V268" s="3">
        <f t="shared" si="51"/>
        <v>0</v>
      </c>
      <c r="W268" s="3">
        <f t="shared" si="52"/>
        <v>0</v>
      </c>
      <c r="X268" s="3">
        <f t="shared" si="53"/>
        <v>0</v>
      </c>
      <c r="Y268" s="3">
        <f t="shared" si="54"/>
        <v>1</v>
      </c>
    </row>
    <row r="269" spans="1:25" ht="14.45">
      <c r="A269" s="3" t="s">
        <v>122</v>
      </c>
      <c r="B269" s="4">
        <v>45748</v>
      </c>
      <c r="C269" s="3" t="s">
        <v>49</v>
      </c>
      <c r="D269" s="3" t="s">
        <v>52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f t="shared" si="44"/>
        <v>0.28999999999999998</v>
      </c>
      <c r="L269" s="3">
        <f t="shared" si="45"/>
        <v>0</v>
      </c>
      <c r="M269" s="3">
        <v>0</v>
      </c>
      <c r="N269" s="3">
        <v>3.5</v>
      </c>
      <c r="O269" s="3">
        <f t="shared" si="46"/>
        <v>3.5</v>
      </c>
      <c r="P269" s="3">
        <f t="shared" si="47"/>
        <v>0</v>
      </c>
      <c r="Q269" s="3">
        <v>762328.31</v>
      </c>
      <c r="R269" s="3">
        <v>159158.19</v>
      </c>
      <c r="S269" s="3">
        <f t="shared" si="48"/>
        <v>1</v>
      </c>
      <c r="T269" s="3">
        <f t="shared" si="49"/>
        <v>0</v>
      </c>
      <c r="U269" s="3">
        <f t="shared" si="50"/>
        <v>0</v>
      </c>
      <c r="V269" s="3">
        <f t="shared" si="51"/>
        <v>0</v>
      </c>
      <c r="W269" s="3">
        <f t="shared" si="52"/>
        <v>0</v>
      </c>
      <c r="X269" s="3">
        <f t="shared" si="53"/>
        <v>0</v>
      </c>
      <c r="Y269" s="3">
        <f t="shared" si="54"/>
        <v>1</v>
      </c>
    </row>
    <row r="270" spans="1:25" ht="14.45">
      <c r="A270" s="3" t="s">
        <v>123</v>
      </c>
      <c r="B270" s="4">
        <v>45658</v>
      </c>
      <c r="C270" s="3" t="s">
        <v>49</v>
      </c>
      <c r="D270" s="3" t="s">
        <v>62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f t="shared" si="44"/>
        <v>0.65</v>
      </c>
      <c r="L270" s="3">
        <f t="shared" si="45"/>
        <v>0</v>
      </c>
      <c r="M270" s="3">
        <v>0</v>
      </c>
      <c r="N270" s="3">
        <v>3.6</v>
      </c>
      <c r="O270" s="3">
        <f t="shared" si="46"/>
        <v>3.6</v>
      </c>
      <c r="P270" s="3">
        <f t="shared" si="47"/>
        <v>0</v>
      </c>
      <c r="Q270" s="3">
        <v>660633.99</v>
      </c>
      <c r="R270" s="3">
        <v>118768.66</v>
      </c>
      <c r="S270" s="3">
        <f t="shared" si="48"/>
        <v>0</v>
      </c>
      <c r="T270" s="3">
        <f t="shared" si="49"/>
        <v>1</v>
      </c>
      <c r="U270" s="3">
        <f t="shared" si="50"/>
        <v>0</v>
      </c>
      <c r="V270" s="3">
        <f t="shared" si="51"/>
        <v>0</v>
      </c>
      <c r="W270" s="3">
        <f t="shared" si="52"/>
        <v>0</v>
      </c>
      <c r="X270" s="3">
        <f t="shared" si="53"/>
        <v>0</v>
      </c>
      <c r="Y270" s="3">
        <f t="shared" si="54"/>
        <v>1</v>
      </c>
    </row>
    <row r="271" spans="1:25" ht="14.45">
      <c r="A271" s="3" t="s">
        <v>123</v>
      </c>
      <c r="B271" s="4">
        <v>45689</v>
      </c>
      <c r="C271" s="3" t="s">
        <v>49</v>
      </c>
      <c r="D271" s="3" t="s">
        <v>62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f t="shared" si="44"/>
        <v>0.2</v>
      </c>
      <c r="L271" s="3">
        <f t="shared" si="45"/>
        <v>0</v>
      </c>
      <c r="M271" s="3">
        <v>0</v>
      </c>
      <c r="N271" s="3">
        <v>3.5</v>
      </c>
      <c r="O271" s="3">
        <f t="shared" si="46"/>
        <v>3.5</v>
      </c>
      <c r="P271" s="3">
        <f t="shared" si="47"/>
        <v>0</v>
      </c>
      <c r="Q271" s="3">
        <v>739374.56</v>
      </c>
      <c r="R271" s="3">
        <v>121032.29</v>
      </c>
      <c r="S271" s="3">
        <f t="shared" si="48"/>
        <v>0</v>
      </c>
      <c r="T271" s="3">
        <f t="shared" si="49"/>
        <v>1</v>
      </c>
      <c r="U271" s="3">
        <f t="shared" si="50"/>
        <v>0</v>
      </c>
      <c r="V271" s="3">
        <f t="shared" si="51"/>
        <v>0</v>
      </c>
      <c r="W271" s="3">
        <f t="shared" si="52"/>
        <v>0</v>
      </c>
      <c r="X271" s="3">
        <f t="shared" si="53"/>
        <v>0</v>
      </c>
      <c r="Y271" s="3">
        <f t="shared" si="54"/>
        <v>1</v>
      </c>
    </row>
    <row r="272" spans="1:25" ht="14.45">
      <c r="A272" s="3" t="s">
        <v>123</v>
      </c>
      <c r="B272" s="4">
        <v>45717</v>
      </c>
      <c r="C272" s="3" t="s">
        <v>49</v>
      </c>
      <c r="D272" s="3" t="s">
        <v>62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f t="shared" si="44"/>
        <v>3.63</v>
      </c>
      <c r="L272" s="3">
        <f t="shared" si="45"/>
        <v>0</v>
      </c>
      <c r="M272" s="3">
        <v>1</v>
      </c>
      <c r="N272" s="3">
        <v>3.8</v>
      </c>
      <c r="O272" s="3">
        <f t="shared" si="46"/>
        <v>3.8</v>
      </c>
      <c r="P272" s="3">
        <f t="shared" si="47"/>
        <v>0</v>
      </c>
      <c r="Q272" s="3">
        <v>799756.46</v>
      </c>
      <c r="R272" s="3">
        <v>105052.93</v>
      </c>
      <c r="S272" s="3">
        <f t="shared" si="48"/>
        <v>0</v>
      </c>
      <c r="T272" s="3">
        <f t="shared" si="49"/>
        <v>1</v>
      </c>
      <c r="U272" s="3">
        <f t="shared" si="50"/>
        <v>0</v>
      </c>
      <c r="V272" s="3">
        <f t="shared" si="51"/>
        <v>0</v>
      </c>
      <c r="W272" s="3">
        <f t="shared" si="52"/>
        <v>0</v>
      </c>
      <c r="X272" s="3">
        <f t="shared" si="53"/>
        <v>0</v>
      </c>
      <c r="Y272" s="3">
        <f t="shared" si="54"/>
        <v>1</v>
      </c>
    </row>
    <row r="273" spans="1:25" ht="14.45">
      <c r="A273" s="3" t="s">
        <v>123</v>
      </c>
      <c r="B273" s="4">
        <v>45748</v>
      </c>
      <c r="C273" s="3" t="s">
        <v>49</v>
      </c>
      <c r="D273" s="3" t="s">
        <v>62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f t="shared" si="44"/>
        <v>0.2</v>
      </c>
      <c r="L273" s="3">
        <f t="shared" si="45"/>
        <v>0</v>
      </c>
      <c r="M273" s="3">
        <v>0</v>
      </c>
      <c r="N273" s="3">
        <v>3.2</v>
      </c>
      <c r="O273" s="3">
        <f t="shared" si="46"/>
        <v>3.2</v>
      </c>
      <c r="P273" s="3">
        <f t="shared" si="47"/>
        <v>0</v>
      </c>
      <c r="Q273" s="3">
        <v>593343</v>
      </c>
      <c r="R273" s="3">
        <v>82832.240000000005</v>
      </c>
      <c r="S273" s="3">
        <f t="shared" si="48"/>
        <v>0</v>
      </c>
      <c r="T273" s="3">
        <f t="shared" si="49"/>
        <v>1</v>
      </c>
      <c r="U273" s="3">
        <f t="shared" si="50"/>
        <v>0</v>
      </c>
      <c r="V273" s="3">
        <f t="shared" si="51"/>
        <v>0</v>
      </c>
      <c r="W273" s="3">
        <f t="shared" si="52"/>
        <v>0</v>
      </c>
      <c r="X273" s="3">
        <f t="shared" si="53"/>
        <v>0</v>
      </c>
      <c r="Y273" s="3">
        <f t="shared" si="54"/>
        <v>1</v>
      </c>
    </row>
    <row r="274" spans="1:25" ht="14.45">
      <c r="A274" s="3" t="s">
        <v>124</v>
      </c>
      <c r="B274" s="4">
        <v>45658</v>
      </c>
      <c r="C274" s="3" t="s">
        <v>61</v>
      </c>
      <c r="D274" s="3" t="s">
        <v>52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f t="shared" si="44"/>
        <v>6.23</v>
      </c>
      <c r="L274" s="3">
        <f t="shared" si="45"/>
        <v>0</v>
      </c>
      <c r="M274" s="3">
        <v>0</v>
      </c>
      <c r="N274" s="3">
        <v>3.3</v>
      </c>
      <c r="O274" s="3">
        <f t="shared" si="46"/>
        <v>3.3</v>
      </c>
      <c r="P274" s="3">
        <f t="shared" si="47"/>
        <v>0</v>
      </c>
      <c r="Q274" s="3">
        <v>645039.97</v>
      </c>
      <c r="R274" s="3">
        <v>83093.33</v>
      </c>
      <c r="S274" s="3">
        <f t="shared" si="48"/>
        <v>1</v>
      </c>
      <c r="T274" s="3">
        <f t="shared" si="49"/>
        <v>0</v>
      </c>
      <c r="U274" s="3">
        <f t="shared" si="50"/>
        <v>0</v>
      </c>
      <c r="V274" s="3">
        <f t="shared" si="51"/>
        <v>0</v>
      </c>
      <c r="W274" s="3">
        <f t="shared" si="52"/>
        <v>0</v>
      </c>
      <c r="X274" s="3">
        <f t="shared" si="53"/>
        <v>1</v>
      </c>
      <c r="Y274" s="3">
        <f t="shared" si="54"/>
        <v>0</v>
      </c>
    </row>
    <row r="275" spans="1:25" ht="14.45">
      <c r="A275" s="3" t="s">
        <v>124</v>
      </c>
      <c r="B275" s="4">
        <v>45689</v>
      </c>
      <c r="C275" s="3" t="s">
        <v>61</v>
      </c>
      <c r="D275" s="3" t="s">
        <v>52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f t="shared" si="44"/>
        <v>1.04</v>
      </c>
      <c r="L275" s="3">
        <f t="shared" si="45"/>
        <v>0</v>
      </c>
      <c r="M275" s="3">
        <v>0</v>
      </c>
      <c r="N275" s="3">
        <v>3.1</v>
      </c>
      <c r="O275" s="3">
        <f t="shared" si="46"/>
        <v>3.1</v>
      </c>
      <c r="P275" s="3">
        <f t="shared" si="47"/>
        <v>0</v>
      </c>
      <c r="Q275" s="3">
        <v>561597.32999999996</v>
      </c>
      <c r="R275" s="3">
        <v>75072.75</v>
      </c>
      <c r="S275" s="3">
        <f t="shared" si="48"/>
        <v>1</v>
      </c>
      <c r="T275" s="3">
        <f t="shared" si="49"/>
        <v>0</v>
      </c>
      <c r="U275" s="3">
        <f t="shared" si="50"/>
        <v>0</v>
      </c>
      <c r="V275" s="3">
        <f t="shared" si="51"/>
        <v>0</v>
      </c>
      <c r="W275" s="3">
        <f t="shared" si="52"/>
        <v>0</v>
      </c>
      <c r="X275" s="3">
        <f t="shared" si="53"/>
        <v>1</v>
      </c>
      <c r="Y275" s="3">
        <f t="shared" si="54"/>
        <v>0</v>
      </c>
    </row>
    <row r="276" spans="1:25" ht="14.45">
      <c r="A276" s="3" t="s">
        <v>124</v>
      </c>
      <c r="B276" s="4">
        <v>45717</v>
      </c>
      <c r="C276" s="3" t="s">
        <v>61</v>
      </c>
      <c r="D276" s="3" t="s">
        <v>52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f t="shared" si="44"/>
        <v>1.76</v>
      </c>
      <c r="L276" s="3">
        <f t="shared" si="45"/>
        <v>0</v>
      </c>
      <c r="M276" s="3">
        <v>0</v>
      </c>
      <c r="N276" s="3">
        <v>3.1</v>
      </c>
      <c r="O276" s="3">
        <f t="shared" si="46"/>
        <v>3.1</v>
      </c>
      <c r="P276" s="3">
        <f t="shared" si="47"/>
        <v>0</v>
      </c>
      <c r="Q276" s="3">
        <v>635837.74</v>
      </c>
      <c r="R276" s="3">
        <v>114740.64</v>
      </c>
      <c r="S276" s="3">
        <f t="shared" si="48"/>
        <v>1</v>
      </c>
      <c r="T276" s="3">
        <f t="shared" si="49"/>
        <v>0</v>
      </c>
      <c r="U276" s="3">
        <f t="shared" si="50"/>
        <v>0</v>
      </c>
      <c r="V276" s="3">
        <f t="shared" si="51"/>
        <v>0</v>
      </c>
      <c r="W276" s="3">
        <f t="shared" si="52"/>
        <v>0</v>
      </c>
      <c r="X276" s="3">
        <f t="shared" si="53"/>
        <v>1</v>
      </c>
      <c r="Y276" s="3">
        <f t="shared" si="54"/>
        <v>0</v>
      </c>
    </row>
    <row r="277" spans="1:25" ht="14.45">
      <c r="A277" s="3" t="s">
        <v>124</v>
      </c>
      <c r="B277" s="4">
        <v>45748</v>
      </c>
      <c r="C277" s="3" t="s">
        <v>61</v>
      </c>
      <c r="D277" s="3" t="s">
        <v>52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f t="shared" si="44"/>
        <v>2.86</v>
      </c>
      <c r="L277" s="3">
        <f t="shared" si="45"/>
        <v>0</v>
      </c>
      <c r="M277" s="3">
        <v>0</v>
      </c>
      <c r="N277" s="3">
        <v>3</v>
      </c>
      <c r="O277" s="3">
        <f t="shared" si="46"/>
        <v>3</v>
      </c>
      <c r="P277" s="3">
        <f t="shared" si="47"/>
        <v>0</v>
      </c>
      <c r="Q277" s="3">
        <v>686737.87</v>
      </c>
      <c r="R277" s="3">
        <v>83839.67</v>
      </c>
      <c r="S277" s="3">
        <f t="shared" si="48"/>
        <v>1</v>
      </c>
      <c r="T277" s="3">
        <f t="shared" si="49"/>
        <v>0</v>
      </c>
      <c r="U277" s="3">
        <f t="shared" si="50"/>
        <v>0</v>
      </c>
      <c r="V277" s="3">
        <f t="shared" si="51"/>
        <v>0</v>
      </c>
      <c r="W277" s="3">
        <f t="shared" si="52"/>
        <v>0</v>
      </c>
      <c r="X277" s="3">
        <f t="shared" si="53"/>
        <v>1</v>
      </c>
      <c r="Y277" s="3">
        <f t="shared" si="54"/>
        <v>0</v>
      </c>
    </row>
    <row r="278" spans="1:25" ht="14.45">
      <c r="A278" s="3" t="s">
        <v>125</v>
      </c>
      <c r="B278" s="4">
        <v>45658</v>
      </c>
      <c r="C278" s="3" t="s">
        <v>58</v>
      </c>
      <c r="D278" s="3" t="s">
        <v>50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f t="shared" si="44"/>
        <v>18.14</v>
      </c>
      <c r="L278" s="3">
        <f t="shared" si="45"/>
        <v>0</v>
      </c>
      <c r="M278" s="3">
        <v>1</v>
      </c>
      <c r="N278" s="3">
        <v>3.4</v>
      </c>
      <c r="O278" s="3">
        <f t="shared" si="46"/>
        <v>3.4</v>
      </c>
      <c r="P278" s="3">
        <f t="shared" si="47"/>
        <v>0</v>
      </c>
      <c r="Q278" s="3">
        <v>673076.34</v>
      </c>
      <c r="R278" s="3">
        <v>93899.76</v>
      </c>
      <c r="S278" s="3">
        <f t="shared" si="48"/>
        <v>0</v>
      </c>
      <c r="T278" s="3">
        <f t="shared" si="49"/>
        <v>0</v>
      </c>
      <c r="U278" s="3">
        <f t="shared" si="50"/>
        <v>1</v>
      </c>
      <c r="V278" s="3">
        <f t="shared" si="51"/>
        <v>0</v>
      </c>
      <c r="W278" s="3">
        <f t="shared" si="52"/>
        <v>1</v>
      </c>
      <c r="X278" s="3">
        <f t="shared" si="53"/>
        <v>0</v>
      </c>
      <c r="Y278" s="3">
        <f t="shared" si="54"/>
        <v>0</v>
      </c>
    </row>
    <row r="279" spans="1:25" ht="14.45">
      <c r="A279" s="3" t="s">
        <v>125</v>
      </c>
      <c r="B279" s="4">
        <v>45689</v>
      </c>
      <c r="C279" s="3" t="s">
        <v>58</v>
      </c>
      <c r="D279" s="3" t="s">
        <v>50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f t="shared" si="44"/>
        <v>3.39</v>
      </c>
      <c r="L279" s="3">
        <f t="shared" si="45"/>
        <v>0</v>
      </c>
      <c r="M279" s="3">
        <v>0</v>
      </c>
      <c r="N279" s="3">
        <v>4</v>
      </c>
      <c r="O279" s="3">
        <f t="shared" si="46"/>
        <v>4</v>
      </c>
      <c r="P279" s="3">
        <f t="shared" si="47"/>
        <v>0</v>
      </c>
      <c r="Q279" s="3">
        <v>738548.42</v>
      </c>
      <c r="R279" s="3">
        <v>134282.76999999999</v>
      </c>
      <c r="S279" s="3">
        <f t="shared" si="48"/>
        <v>0</v>
      </c>
      <c r="T279" s="3">
        <f t="shared" si="49"/>
        <v>0</v>
      </c>
      <c r="U279" s="3">
        <f t="shared" si="50"/>
        <v>1</v>
      </c>
      <c r="V279" s="3">
        <f t="shared" si="51"/>
        <v>0</v>
      </c>
      <c r="W279" s="3">
        <f t="shared" si="52"/>
        <v>1</v>
      </c>
      <c r="X279" s="3">
        <f t="shared" si="53"/>
        <v>0</v>
      </c>
      <c r="Y279" s="3">
        <f t="shared" si="54"/>
        <v>0</v>
      </c>
    </row>
    <row r="280" spans="1:25" ht="14.45">
      <c r="A280" s="3" t="s">
        <v>125</v>
      </c>
      <c r="B280" s="4">
        <v>45717</v>
      </c>
      <c r="C280" s="3" t="s">
        <v>58</v>
      </c>
      <c r="D280" s="3" t="s">
        <v>50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f t="shared" si="44"/>
        <v>1.44</v>
      </c>
      <c r="L280" s="3">
        <f t="shared" si="45"/>
        <v>0</v>
      </c>
      <c r="M280" s="3">
        <v>0</v>
      </c>
      <c r="N280" s="3">
        <v>3.9</v>
      </c>
      <c r="O280" s="3">
        <f t="shared" si="46"/>
        <v>3.9</v>
      </c>
      <c r="P280" s="3">
        <f t="shared" si="47"/>
        <v>0</v>
      </c>
      <c r="Q280" s="3">
        <v>756619.77</v>
      </c>
      <c r="R280" s="3">
        <v>112057.69</v>
      </c>
      <c r="S280" s="3">
        <f t="shared" si="48"/>
        <v>0</v>
      </c>
      <c r="T280" s="3">
        <f t="shared" si="49"/>
        <v>0</v>
      </c>
      <c r="U280" s="3">
        <f t="shared" si="50"/>
        <v>1</v>
      </c>
      <c r="V280" s="3">
        <f t="shared" si="51"/>
        <v>0</v>
      </c>
      <c r="W280" s="3">
        <f t="shared" si="52"/>
        <v>1</v>
      </c>
      <c r="X280" s="3">
        <f t="shared" si="53"/>
        <v>0</v>
      </c>
      <c r="Y280" s="3">
        <f t="shared" si="54"/>
        <v>0</v>
      </c>
    </row>
    <row r="281" spans="1:25" ht="14.45">
      <c r="A281" s="3" t="s">
        <v>125</v>
      </c>
      <c r="B281" s="4">
        <v>45748</v>
      </c>
      <c r="C281" s="3" t="s">
        <v>58</v>
      </c>
      <c r="D281" s="3" t="s">
        <v>50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f t="shared" si="44"/>
        <v>3.65</v>
      </c>
      <c r="L281" s="3">
        <f t="shared" si="45"/>
        <v>0</v>
      </c>
      <c r="M281" s="3">
        <v>0</v>
      </c>
      <c r="N281" s="3">
        <v>3.7</v>
      </c>
      <c r="O281" s="3">
        <f t="shared" si="46"/>
        <v>3.7</v>
      </c>
      <c r="P281" s="3">
        <f t="shared" si="47"/>
        <v>0</v>
      </c>
      <c r="Q281" s="3">
        <v>761122.42</v>
      </c>
      <c r="R281" s="3">
        <v>149802.04</v>
      </c>
      <c r="S281" s="3">
        <f t="shared" si="48"/>
        <v>0</v>
      </c>
      <c r="T281" s="3">
        <f t="shared" si="49"/>
        <v>0</v>
      </c>
      <c r="U281" s="3">
        <f t="shared" si="50"/>
        <v>1</v>
      </c>
      <c r="V281" s="3">
        <f t="shared" si="51"/>
        <v>0</v>
      </c>
      <c r="W281" s="3">
        <f t="shared" si="52"/>
        <v>1</v>
      </c>
      <c r="X281" s="3">
        <f t="shared" si="53"/>
        <v>0</v>
      </c>
      <c r="Y281" s="3">
        <f t="shared" si="54"/>
        <v>0</v>
      </c>
    </row>
    <row r="282" spans="1:25" ht="14.45">
      <c r="A282" s="3" t="s">
        <v>126</v>
      </c>
      <c r="B282" s="4">
        <v>45658</v>
      </c>
      <c r="C282" s="3" t="s">
        <v>58</v>
      </c>
      <c r="D282" s="3" t="s">
        <v>52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f t="shared" si="44"/>
        <v>1.23</v>
      </c>
      <c r="L282" s="3">
        <f t="shared" si="45"/>
        <v>0</v>
      </c>
      <c r="M282" s="3">
        <v>1</v>
      </c>
      <c r="N282" s="3">
        <v>3.8</v>
      </c>
      <c r="O282" s="3">
        <f t="shared" si="46"/>
        <v>3.8</v>
      </c>
      <c r="P282" s="3">
        <f t="shared" si="47"/>
        <v>0</v>
      </c>
      <c r="Q282" s="3">
        <v>524899.56999999995</v>
      </c>
      <c r="R282" s="3">
        <v>63619.98</v>
      </c>
      <c r="S282" s="3">
        <f t="shared" si="48"/>
        <v>1</v>
      </c>
      <c r="T282" s="3">
        <f t="shared" si="49"/>
        <v>0</v>
      </c>
      <c r="U282" s="3">
        <f t="shared" si="50"/>
        <v>0</v>
      </c>
      <c r="V282" s="3">
        <f t="shared" si="51"/>
        <v>0</v>
      </c>
      <c r="W282" s="3">
        <f t="shared" si="52"/>
        <v>1</v>
      </c>
      <c r="X282" s="3">
        <f t="shared" si="53"/>
        <v>0</v>
      </c>
      <c r="Y282" s="3">
        <f t="shared" si="54"/>
        <v>0</v>
      </c>
    </row>
    <row r="283" spans="1:25" ht="14.45">
      <c r="A283" s="3" t="s">
        <v>126</v>
      </c>
      <c r="B283" s="4">
        <v>45689</v>
      </c>
      <c r="C283" s="3" t="s">
        <v>58</v>
      </c>
      <c r="D283" s="3" t="s">
        <v>52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f t="shared" si="44"/>
        <v>3.09</v>
      </c>
      <c r="L283" s="3">
        <f t="shared" si="45"/>
        <v>0</v>
      </c>
      <c r="M283" s="3">
        <v>0</v>
      </c>
      <c r="N283" s="3">
        <v>4</v>
      </c>
      <c r="O283" s="3">
        <f t="shared" si="46"/>
        <v>4</v>
      </c>
      <c r="P283" s="3">
        <f t="shared" si="47"/>
        <v>0</v>
      </c>
      <c r="Q283" s="3">
        <v>555557.77</v>
      </c>
      <c r="R283" s="3">
        <v>86475.51</v>
      </c>
      <c r="S283" s="3">
        <f t="shared" si="48"/>
        <v>1</v>
      </c>
      <c r="T283" s="3">
        <f t="shared" si="49"/>
        <v>0</v>
      </c>
      <c r="U283" s="3">
        <f t="shared" si="50"/>
        <v>0</v>
      </c>
      <c r="V283" s="3">
        <f t="shared" si="51"/>
        <v>0</v>
      </c>
      <c r="W283" s="3">
        <f t="shared" si="52"/>
        <v>1</v>
      </c>
      <c r="X283" s="3">
        <f t="shared" si="53"/>
        <v>0</v>
      </c>
      <c r="Y283" s="3">
        <f t="shared" si="54"/>
        <v>0</v>
      </c>
    </row>
    <row r="284" spans="1:25" ht="14.45">
      <c r="A284" s="3" t="s">
        <v>126</v>
      </c>
      <c r="B284" s="4">
        <v>45717</v>
      </c>
      <c r="C284" s="3" t="s">
        <v>58</v>
      </c>
      <c r="D284" s="3" t="s">
        <v>52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f t="shared" si="44"/>
        <v>3.15</v>
      </c>
      <c r="L284" s="3">
        <f t="shared" si="45"/>
        <v>0</v>
      </c>
      <c r="M284" s="3">
        <v>0</v>
      </c>
      <c r="N284" s="3">
        <v>4</v>
      </c>
      <c r="O284" s="3">
        <f t="shared" si="46"/>
        <v>4</v>
      </c>
      <c r="P284" s="3">
        <f t="shared" si="47"/>
        <v>0</v>
      </c>
      <c r="Q284" s="3">
        <v>714083.68</v>
      </c>
      <c r="R284" s="3">
        <v>127231.74</v>
      </c>
      <c r="S284" s="3">
        <f t="shared" si="48"/>
        <v>1</v>
      </c>
      <c r="T284" s="3">
        <f t="shared" si="49"/>
        <v>0</v>
      </c>
      <c r="U284" s="3">
        <f t="shared" si="50"/>
        <v>0</v>
      </c>
      <c r="V284" s="3">
        <f t="shared" si="51"/>
        <v>0</v>
      </c>
      <c r="W284" s="3">
        <f t="shared" si="52"/>
        <v>1</v>
      </c>
      <c r="X284" s="3">
        <f t="shared" si="53"/>
        <v>0</v>
      </c>
      <c r="Y284" s="3">
        <f t="shared" si="54"/>
        <v>0</v>
      </c>
    </row>
    <row r="285" spans="1:25" ht="14.45">
      <c r="A285" s="3" t="s">
        <v>126</v>
      </c>
      <c r="B285" s="4">
        <v>45748</v>
      </c>
      <c r="C285" s="3" t="s">
        <v>58</v>
      </c>
      <c r="D285" s="3" t="s">
        <v>52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f t="shared" si="44"/>
        <v>6.44</v>
      </c>
      <c r="L285" s="3">
        <f t="shared" si="45"/>
        <v>0</v>
      </c>
      <c r="M285" s="3">
        <v>0</v>
      </c>
      <c r="N285" s="3">
        <v>4.2</v>
      </c>
      <c r="O285" s="3">
        <f t="shared" si="46"/>
        <v>4.2</v>
      </c>
      <c r="P285" s="3">
        <f t="shared" si="47"/>
        <v>0</v>
      </c>
      <c r="Q285" s="3">
        <v>497439.82</v>
      </c>
      <c r="R285" s="3">
        <v>93372.75</v>
      </c>
      <c r="S285" s="3">
        <f t="shared" si="48"/>
        <v>1</v>
      </c>
      <c r="T285" s="3">
        <f t="shared" si="49"/>
        <v>0</v>
      </c>
      <c r="U285" s="3">
        <f t="shared" si="50"/>
        <v>0</v>
      </c>
      <c r="V285" s="3">
        <f t="shared" si="51"/>
        <v>0</v>
      </c>
      <c r="W285" s="3">
        <f t="shared" si="52"/>
        <v>1</v>
      </c>
      <c r="X285" s="3">
        <f t="shared" si="53"/>
        <v>0</v>
      </c>
      <c r="Y285" s="3">
        <f t="shared" si="54"/>
        <v>0</v>
      </c>
    </row>
    <row r="286" spans="1:25" ht="14.45">
      <c r="A286" s="3" t="s">
        <v>127</v>
      </c>
      <c r="B286" s="4">
        <v>45658</v>
      </c>
      <c r="C286" s="3" t="s">
        <v>61</v>
      </c>
      <c r="D286" s="3" t="s">
        <v>50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f t="shared" si="44"/>
        <v>0.2</v>
      </c>
      <c r="L286" s="3">
        <f t="shared" si="45"/>
        <v>0</v>
      </c>
      <c r="M286" s="3">
        <v>1</v>
      </c>
      <c r="N286" s="3">
        <v>4.5</v>
      </c>
      <c r="O286" s="3">
        <f t="shared" si="46"/>
        <v>4.5</v>
      </c>
      <c r="P286" s="3">
        <f t="shared" si="47"/>
        <v>0</v>
      </c>
      <c r="Q286" s="3">
        <v>636775.66</v>
      </c>
      <c r="R286" s="3">
        <v>122636.86</v>
      </c>
      <c r="S286" s="3">
        <f t="shared" si="48"/>
        <v>0</v>
      </c>
      <c r="T286" s="3">
        <f t="shared" si="49"/>
        <v>0</v>
      </c>
      <c r="U286" s="3">
        <f t="shared" si="50"/>
        <v>1</v>
      </c>
      <c r="V286" s="3">
        <f t="shared" si="51"/>
        <v>0</v>
      </c>
      <c r="W286" s="3">
        <f t="shared" si="52"/>
        <v>0</v>
      </c>
      <c r="X286" s="3">
        <f t="shared" si="53"/>
        <v>1</v>
      </c>
      <c r="Y286" s="3">
        <f t="shared" si="54"/>
        <v>0</v>
      </c>
    </row>
    <row r="287" spans="1:25" ht="14.45">
      <c r="A287" s="3" t="s">
        <v>127</v>
      </c>
      <c r="B287" s="4">
        <v>45689</v>
      </c>
      <c r="C287" s="3" t="s">
        <v>61</v>
      </c>
      <c r="D287" s="3" t="s">
        <v>50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f t="shared" si="44"/>
        <v>0.59</v>
      </c>
      <c r="L287" s="3">
        <f t="shared" si="45"/>
        <v>0</v>
      </c>
      <c r="M287" s="3">
        <v>0</v>
      </c>
      <c r="N287" s="3">
        <v>4.5</v>
      </c>
      <c r="O287" s="3">
        <f t="shared" si="46"/>
        <v>4.5</v>
      </c>
      <c r="P287" s="3">
        <f t="shared" si="47"/>
        <v>0</v>
      </c>
      <c r="Q287" s="3">
        <v>633009.53</v>
      </c>
      <c r="R287" s="3">
        <v>123782.67</v>
      </c>
      <c r="S287" s="3">
        <f t="shared" si="48"/>
        <v>0</v>
      </c>
      <c r="T287" s="3">
        <f t="shared" si="49"/>
        <v>0</v>
      </c>
      <c r="U287" s="3">
        <f t="shared" si="50"/>
        <v>1</v>
      </c>
      <c r="V287" s="3">
        <f t="shared" si="51"/>
        <v>0</v>
      </c>
      <c r="W287" s="3">
        <f t="shared" si="52"/>
        <v>0</v>
      </c>
      <c r="X287" s="3">
        <f t="shared" si="53"/>
        <v>1</v>
      </c>
      <c r="Y287" s="3">
        <f t="shared" si="54"/>
        <v>0</v>
      </c>
    </row>
    <row r="288" spans="1:25" ht="14.45">
      <c r="A288" s="3" t="s">
        <v>127</v>
      </c>
      <c r="B288" s="4">
        <v>45717</v>
      </c>
      <c r="C288" s="3" t="s">
        <v>61</v>
      </c>
      <c r="D288" s="3" t="s">
        <v>50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f t="shared" si="44"/>
        <v>0.2</v>
      </c>
      <c r="L288" s="3">
        <f t="shared" si="45"/>
        <v>0</v>
      </c>
      <c r="M288" s="3">
        <v>1</v>
      </c>
      <c r="N288" s="3">
        <v>4.2</v>
      </c>
      <c r="O288" s="3">
        <f t="shared" si="46"/>
        <v>4.2</v>
      </c>
      <c r="P288" s="3">
        <f t="shared" si="47"/>
        <v>0</v>
      </c>
      <c r="Q288" s="3">
        <v>609949</v>
      </c>
      <c r="R288" s="3">
        <v>126789.25</v>
      </c>
      <c r="S288" s="3">
        <f t="shared" si="48"/>
        <v>0</v>
      </c>
      <c r="T288" s="3">
        <f t="shared" si="49"/>
        <v>0</v>
      </c>
      <c r="U288" s="3">
        <f t="shared" si="50"/>
        <v>1</v>
      </c>
      <c r="V288" s="3">
        <f t="shared" si="51"/>
        <v>0</v>
      </c>
      <c r="W288" s="3">
        <f t="shared" si="52"/>
        <v>0</v>
      </c>
      <c r="X288" s="3">
        <f t="shared" si="53"/>
        <v>1</v>
      </c>
      <c r="Y288" s="3">
        <f t="shared" si="54"/>
        <v>0</v>
      </c>
    </row>
    <row r="289" spans="1:25" ht="14.45">
      <c r="A289" s="3" t="s">
        <v>127</v>
      </c>
      <c r="B289" s="4">
        <v>45748</v>
      </c>
      <c r="C289" s="3" t="s">
        <v>61</v>
      </c>
      <c r="D289" s="3" t="s">
        <v>50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f t="shared" si="44"/>
        <v>1.36</v>
      </c>
      <c r="L289" s="3">
        <f t="shared" si="45"/>
        <v>0</v>
      </c>
      <c r="M289" s="3">
        <v>0</v>
      </c>
      <c r="N289" s="3">
        <v>4.8</v>
      </c>
      <c r="O289" s="3">
        <f t="shared" si="46"/>
        <v>4.8</v>
      </c>
      <c r="P289" s="3">
        <f t="shared" si="47"/>
        <v>0</v>
      </c>
      <c r="Q289" s="3">
        <v>548103.69999999995</v>
      </c>
      <c r="R289" s="3">
        <v>99905.52</v>
      </c>
      <c r="S289" s="3">
        <f t="shared" si="48"/>
        <v>0</v>
      </c>
      <c r="T289" s="3">
        <f t="shared" si="49"/>
        <v>0</v>
      </c>
      <c r="U289" s="3">
        <f t="shared" si="50"/>
        <v>1</v>
      </c>
      <c r="V289" s="3">
        <f t="shared" si="51"/>
        <v>0</v>
      </c>
      <c r="W289" s="3">
        <f t="shared" si="52"/>
        <v>0</v>
      </c>
      <c r="X289" s="3">
        <f t="shared" si="53"/>
        <v>1</v>
      </c>
      <c r="Y289" s="3">
        <f t="shared" si="54"/>
        <v>0</v>
      </c>
    </row>
    <row r="290" spans="1:25" ht="14.45">
      <c r="A290" s="3" t="s">
        <v>128</v>
      </c>
      <c r="B290" s="4">
        <v>45658</v>
      </c>
      <c r="C290" s="3" t="s">
        <v>49</v>
      </c>
      <c r="D290" s="3" t="s">
        <v>50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f t="shared" si="44"/>
        <v>3.34</v>
      </c>
      <c r="L290" s="3">
        <f t="shared" si="45"/>
        <v>0</v>
      </c>
      <c r="M290" s="3">
        <v>0</v>
      </c>
      <c r="N290" s="3">
        <v>3.7</v>
      </c>
      <c r="O290" s="3">
        <f t="shared" si="46"/>
        <v>3.7</v>
      </c>
      <c r="P290" s="3">
        <f t="shared" si="47"/>
        <v>0</v>
      </c>
      <c r="Q290" s="3">
        <v>729424.42</v>
      </c>
      <c r="R290" s="3">
        <v>75592.28</v>
      </c>
      <c r="S290" s="3">
        <f t="shared" si="48"/>
        <v>0</v>
      </c>
      <c r="T290" s="3">
        <f t="shared" si="49"/>
        <v>0</v>
      </c>
      <c r="U290" s="3">
        <f t="shared" si="50"/>
        <v>1</v>
      </c>
      <c r="V290" s="3">
        <f t="shared" si="51"/>
        <v>0</v>
      </c>
      <c r="W290" s="3">
        <f t="shared" si="52"/>
        <v>0</v>
      </c>
      <c r="X290" s="3">
        <f t="shared" si="53"/>
        <v>0</v>
      </c>
      <c r="Y290" s="3">
        <f t="shared" si="54"/>
        <v>1</v>
      </c>
    </row>
    <row r="291" spans="1:25" ht="14.45">
      <c r="A291" s="3" t="s">
        <v>128</v>
      </c>
      <c r="B291" s="4">
        <v>45689</v>
      </c>
      <c r="C291" s="3" t="s">
        <v>49</v>
      </c>
      <c r="D291" s="3" t="s">
        <v>50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f t="shared" si="44"/>
        <v>0.33</v>
      </c>
      <c r="L291" s="3">
        <f t="shared" si="45"/>
        <v>0</v>
      </c>
      <c r="M291" s="3">
        <v>0</v>
      </c>
      <c r="N291" s="3">
        <v>4</v>
      </c>
      <c r="O291" s="3">
        <f t="shared" si="46"/>
        <v>4</v>
      </c>
      <c r="P291" s="3">
        <f t="shared" si="47"/>
        <v>0</v>
      </c>
      <c r="Q291" s="3">
        <v>696261.49</v>
      </c>
      <c r="R291" s="3">
        <v>72455.350000000006</v>
      </c>
      <c r="S291" s="3">
        <f t="shared" si="48"/>
        <v>0</v>
      </c>
      <c r="T291" s="3">
        <f t="shared" si="49"/>
        <v>0</v>
      </c>
      <c r="U291" s="3">
        <f t="shared" si="50"/>
        <v>1</v>
      </c>
      <c r="V291" s="3">
        <f t="shared" si="51"/>
        <v>0</v>
      </c>
      <c r="W291" s="3">
        <f t="shared" si="52"/>
        <v>0</v>
      </c>
      <c r="X291" s="3">
        <f t="shared" si="53"/>
        <v>0</v>
      </c>
      <c r="Y291" s="3">
        <f t="shared" si="54"/>
        <v>1</v>
      </c>
    </row>
    <row r="292" spans="1:25" ht="14.45">
      <c r="A292" s="3" t="s">
        <v>128</v>
      </c>
      <c r="B292" s="4">
        <v>45717</v>
      </c>
      <c r="C292" s="3" t="s">
        <v>49</v>
      </c>
      <c r="D292" s="3" t="s">
        <v>50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f t="shared" si="44"/>
        <v>3.44</v>
      </c>
      <c r="L292" s="3">
        <f t="shared" si="45"/>
        <v>0</v>
      </c>
      <c r="M292" s="3">
        <v>1</v>
      </c>
      <c r="N292" s="3">
        <v>4.3</v>
      </c>
      <c r="O292" s="3">
        <f t="shared" si="46"/>
        <v>4.3</v>
      </c>
      <c r="P292" s="3">
        <f t="shared" si="47"/>
        <v>0</v>
      </c>
      <c r="Q292" s="3">
        <v>813316.71</v>
      </c>
      <c r="R292" s="3">
        <v>110077.42</v>
      </c>
      <c r="S292" s="3">
        <f t="shared" si="48"/>
        <v>0</v>
      </c>
      <c r="T292" s="3">
        <f t="shared" si="49"/>
        <v>0</v>
      </c>
      <c r="U292" s="3">
        <f t="shared" si="50"/>
        <v>1</v>
      </c>
      <c r="V292" s="3">
        <f t="shared" si="51"/>
        <v>0</v>
      </c>
      <c r="W292" s="3">
        <f t="shared" si="52"/>
        <v>0</v>
      </c>
      <c r="X292" s="3">
        <f t="shared" si="53"/>
        <v>0</v>
      </c>
      <c r="Y292" s="3">
        <f t="shared" si="54"/>
        <v>1</v>
      </c>
    </row>
    <row r="293" spans="1:25" ht="14.45">
      <c r="A293" s="3" t="s">
        <v>128</v>
      </c>
      <c r="B293" s="4">
        <v>45748</v>
      </c>
      <c r="C293" s="3" t="s">
        <v>49</v>
      </c>
      <c r="D293" s="3" t="s">
        <v>50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f t="shared" si="44"/>
        <v>5.33</v>
      </c>
      <c r="L293" s="3">
        <f t="shared" si="45"/>
        <v>0</v>
      </c>
      <c r="M293" s="3">
        <v>0</v>
      </c>
      <c r="N293" s="3">
        <v>4.0999999999999996</v>
      </c>
      <c r="O293" s="3">
        <f t="shared" si="46"/>
        <v>4.0999999999999996</v>
      </c>
      <c r="P293" s="3">
        <f t="shared" si="47"/>
        <v>0</v>
      </c>
      <c r="Q293" s="3">
        <v>702068.92</v>
      </c>
      <c r="R293" s="3">
        <v>111266.63</v>
      </c>
      <c r="S293" s="3">
        <f t="shared" si="48"/>
        <v>0</v>
      </c>
      <c r="T293" s="3">
        <f t="shared" si="49"/>
        <v>0</v>
      </c>
      <c r="U293" s="3">
        <f t="shared" si="50"/>
        <v>1</v>
      </c>
      <c r="V293" s="3">
        <f t="shared" si="51"/>
        <v>0</v>
      </c>
      <c r="W293" s="3">
        <f t="shared" si="52"/>
        <v>0</v>
      </c>
      <c r="X293" s="3">
        <f t="shared" si="53"/>
        <v>0</v>
      </c>
      <c r="Y293" s="3">
        <f t="shared" si="54"/>
        <v>1</v>
      </c>
    </row>
    <row r="294" spans="1:25" ht="14.45">
      <c r="A294" s="3" t="s">
        <v>129</v>
      </c>
      <c r="B294" s="4">
        <v>45658</v>
      </c>
      <c r="C294" s="3" t="s">
        <v>61</v>
      </c>
      <c r="D294" s="3" t="s">
        <v>52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f t="shared" si="44"/>
        <v>6.04</v>
      </c>
      <c r="L294" s="3">
        <f t="shared" si="45"/>
        <v>0</v>
      </c>
      <c r="M294" s="3">
        <v>0</v>
      </c>
      <c r="N294" s="3">
        <v>4.5</v>
      </c>
      <c r="O294" s="3">
        <f t="shared" si="46"/>
        <v>4.5</v>
      </c>
      <c r="P294" s="3">
        <f t="shared" si="47"/>
        <v>0</v>
      </c>
      <c r="Q294" s="3">
        <v>546223.69999999995</v>
      </c>
      <c r="R294" s="3">
        <v>100769.17</v>
      </c>
      <c r="S294" s="3">
        <f t="shared" si="48"/>
        <v>1</v>
      </c>
      <c r="T294" s="3">
        <f t="shared" si="49"/>
        <v>0</v>
      </c>
      <c r="U294" s="3">
        <f t="shared" si="50"/>
        <v>0</v>
      </c>
      <c r="V294" s="3">
        <f t="shared" si="51"/>
        <v>0</v>
      </c>
      <c r="W294" s="3">
        <f t="shared" si="52"/>
        <v>0</v>
      </c>
      <c r="X294" s="3">
        <f t="shared" si="53"/>
        <v>1</v>
      </c>
      <c r="Y294" s="3">
        <f t="shared" si="54"/>
        <v>0</v>
      </c>
    </row>
    <row r="295" spans="1:25" ht="14.45">
      <c r="A295" s="3" t="s">
        <v>129</v>
      </c>
      <c r="B295" s="4">
        <v>45689</v>
      </c>
      <c r="C295" s="3" t="s">
        <v>61</v>
      </c>
      <c r="D295" s="3" t="s">
        <v>52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f t="shared" si="44"/>
        <v>1.6</v>
      </c>
      <c r="L295" s="3">
        <f t="shared" si="45"/>
        <v>0</v>
      </c>
      <c r="M295" s="3">
        <v>0</v>
      </c>
      <c r="N295" s="3">
        <v>4.2</v>
      </c>
      <c r="O295" s="3">
        <f t="shared" si="46"/>
        <v>4.2</v>
      </c>
      <c r="P295" s="3">
        <f t="shared" si="47"/>
        <v>0</v>
      </c>
      <c r="Q295" s="3">
        <v>533121.26</v>
      </c>
      <c r="R295" s="3">
        <v>55063.39</v>
      </c>
      <c r="S295" s="3">
        <f t="shared" si="48"/>
        <v>1</v>
      </c>
      <c r="T295" s="3">
        <f t="shared" si="49"/>
        <v>0</v>
      </c>
      <c r="U295" s="3">
        <f t="shared" si="50"/>
        <v>0</v>
      </c>
      <c r="V295" s="3">
        <f t="shared" si="51"/>
        <v>0</v>
      </c>
      <c r="W295" s="3">
        <f t="shared" si="52"/>
        <v>0</v>
      </c>
      <c r="X295" s="3">
        <f t="shared" si="53"/>
        <v>1</v>
      </c>
      <c r="Y295" s="3">
        <f t="shared" si="54"/>
        <v>0</v>
      </c>
    </row>
    <row r="296" spans="1:25" ht="14.45">
      <c r="A296" s="3" t="s">
        <v>129</v>
      </c>
      <c r="B296" s="4">
        <v>45717</v>
      </c>
      <c r="C296" s="3" t="s">
        <v>61</v>
      </c>
      <c r="D296" s="3" t="s">
        <v>52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f t="shared" si="44"/>
        <v>8.9600000000000009</v>
      </c>
      <c r="L296" s="3">
        <f t="shared" si="45"/>
        <v>0</v>
      </c>
      <c r="M296" s="3">
        <v>0</v>
      </c>
      <c r="N296" s="3">
        <v>4.7</v>
      </c>
      <c r="O296" s="3">
        <f t="shared" si="46"/>
        <v>4.7</v>
      </c>
      <c r="P296" s="3">
        <f t="shared" si="47"/>
        <v>0</v>
      </c>
      <c r="Q296" s="3">
        <v>498970.32</v>
      </c>
      <c r="R296" s="3">
        <v>69656.7</v>
      </c>
      <c r="S296" s="3">
        <f t="shared" si="48"/>
        <v>1</v>
      </c>
      <c r="T296" s="3">
        <f t="shared" si="49"/>
        <v>0</v>
      </c>
      <c r="U296" s="3">
        <f t="shared" si="50"/>
        <v>0</v>
      </c>
      <c r="V296" s="3">
        <f t="shared" si="51"/>
        <v>0</v>
      </c>
      <c r="W296" s="3">
        <f t="shared" si="52"/>
        <v>0</v>
      </c>
      <c r="X296" s="3">
        <f t="shared" si="53"/>
        <v>1</v>
      </c>
      <c r="Y296" s="3">
        <f t="shared" si="54"/>
        <v>0</v>
      </c>
    </row>
    <row r="297" spans="1:25" ht="14.45">
      <c r="A297" s="3" t="s">
        <v>129</v>
      </c>
      <c r="B297" s="4">
        <v>45748</v>
      </c>
      <c r="C297" s="3" t="s">
        <v>61</v>
      </c>
      <c r="D297" s="3" t="s">
        <v>52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f t="shared" si="44"/>
        <v>0.74</v>
      </c>
      <c r="L297" s="3">
        <f t="shared" si="45"/>
        <v>0</v>
      </c>
      <c r="M297" s="3">
        <v>0</v>
      </c>
      <c r="N297" s="3">
        <v>4.5999999999999996</v>
      </c>
      <c r="O297" s="3">
        <f t="shared" si="46"/>
        <v>4.5999999999999996</v>
      </c>
      <c r="P297" s="3">
        <f t="shared" si="47"/>
        <v>0</v>
      </c>
      <c r="Q297" s="3">
        <v>487738.26</v>
      </c>
      <c r="R297" s="3">
        <v>96435.6</v>
      </c>
      <c r="S297" s="3">
        <f t="shared" si="48"/>
        <v>1</v>
      </c>
      <c r="T297" s="3">
        <f t="shared" si="49"/>
        <v>0</v>
      </c>
      <c r="U297" s="3">
        <f t="shared" si="50"/>
        <v>0</v>
      </c>
      <c r="V297" s="3">
        <f t="shared" si="51"/>
        <v>0</v>
      </c>
      <c r="W297" s="3">
        <f t="shared" si="52"/>
        <v>0</v>
      </c>
      <c r="X297" s="3">
        <f t="shared" si="53"/>
        <v>1</v>
      </c>
      <c r="Y297" s="3">
        <f t="shared" si="54"/>
        <v>0</v>
      </c>
    </row>
    <row r="298" spans="1:25" ht="14.45">
      <c r="A298" s="3" t="s">
        <v>130</v>
      </c>
      <c r="B298" s="4">
        <v>45658</v>
      </c>
      <c r="C298" s="3" t="s">
        <v>61</v>
      </c>
      <c r="D298" s="3" t="s">
        <v>52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f t="shared" si="44"/>
        <v>6.13</v>
      </c>
      <c r="L298" s="3">
        <f t="shared" si="45"/>
        <v>0</v>
      </c>
      <c r="M298" s="3">
        <v>0</v>
      </c>
      <c r="N298" s="3">
        <v>3.3</v>
      </c>
      <c r="O298" s="3">
        <f t="shared" si="46"/>
        <v>3.3</v>
      </c>
      <c r="P298" s="3">
        <f t="shared" si="47"/>
        <v>0</v>
      </c>
      <c r="Q298" s="3">
        <v>668459.37</v>
      </c>
      <c r="R298" s="3">
        <v>126435.42</v>
      </c>
      <c r="S298" s="3">
        <f t="shared" si="48"/>
        <v>1</v>
      </c>
      <c r="T298" s="3">
        <f t="shared" si="49"/>
        <v>0</v>
      </c>
      <c r="U298" s="3">
        <f t="shared" si="50"/>
        <v>0</v>
      </c>
      <c r="V298" s="3">
        <f t="shared" si="51"/>
        <v>0</v>
      </c>
      <c r="W298" s="3">
        <f t="shared" si="52"/>
        <v>0</v>
      </c>
      <c r="X298" s="3">
        <f t="shared" si="53"/>
        <v>1</v>
      </c>
      <c r="Y298" s="3">
        <f t="shared" si="54"/>
        <v>0</v>
      </c>
    </row>
    <row r="299" spans="1:25" ht="14.45">
      <c r="A299" s="3" t="s">
        <v>130</v>
      </c>
      <c r="B299" s="4">
        <v>45689</v>
      </c>
      <c r="C299" s="3" t="s">
        <v>61</v>
      </c>
      <c r="D299" s="3" t="s">
        <v>52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f t="shared" si="44"/>
        <v>1.41</v>
      </c>
      <c r="L299" s="3">
        <f t="shared" si="45"/>
        <v>0</v>
      </c>
      <c r="M299" s="3">
        <v>0</v>
      </c>
      <c r="N299" s="3">
        <v>3.3</v>
      </c>
      <c r="O299" s="3">
        <f t="shared" si="46"/>
        <v>3.3</v>
      </c>
      <c r="P299" s="3">
        <f t="shared" si="47"/>
        <v>0</v>
      </c>
      <c r="Q299" s="3">
        <v>763162.45</v>
      </c>
      <c r="R299" s="3">
        <v>162524.04999999999</v>
      </c>
      <c r="S299" s="3">
        <f t="shared" si="48"/>
        <v>1</v>
      </c>
      <c r="T299" s="3">
        <f t="shared" si="49"/>
        <v>0</v>
      </c>
      <c r="U299" s="3">
        <f t="shared" si="50"/>
        <v>0</v>
      </c>
      <c r="V299" s="3">
        <f t="shared" si="51"/>
        <v>0</v>
      </c>
      <c r="W299" s="3">
        <f t="shared" si="52"/>
        <v>0</v>
      </c>
      <c r="X299" s="3">
        <f t="shared" si="53"/>
        <v>1</v>
      </c>
      <c r="Y299" s="3">
        <f t="shared" si="54"/>
        <v>0</v>
      </c>
    </row>
    <row r="300" spans="1:25" ht="14.45">
      <c r="A300" s="3" t="s">
        <v>130</v>
      </c>
      <c r="B300" s="4">
        <v>45717</v>
      </c>
      <c r="C300" s="3" t="s">
        <v>61</v>
      </c>
      <c r="D300" s="3" t="s">
        <v>52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f t="shared" si="44"/>
        <v>3.75</v>
      </c>
      <c r="L300" s="3">
        <f t="shared" si="45"/>
        <v>0</v>
      </c>
      <c r="M300" s="3">
        <v>0</v>
      </c>
      <c r="N300" s="3">
        <v>3.1</v>
      </c>
      <c r="O300" s="3">
        <f t="shared" si="46"/>
        <v>3.1</v>
      </c>
      <c r="P300" s="3">
        <f t="shared" si="47"/>
        <v>0</v>
      </c>
      <c r="Q300" s="3">
        <v>599017.32999999996</v>
      </c>
      <c r="R300" s="3">
        <v>134009.92000000001</v>
      </c>
      <c r="S300" s="3">
        <f t="shared" si="48"/>
        <v>1</v>
      </c>
      <c r="T300" s="3">
        <f t="shared" si="49"/>
        <v>0</v>
      </c>
      <c r="U300" s="3">
        <f t="shared" si="50"/>
        <v>0</v>
      </c>
      <c r="V300" s="3">
        <f t="shared" si="51"/>
        <v>0</v>
      </c>
      <c r="W300" s="3">
        <f t="shared" si="52"/>
        <v>0</v>
      </c>
      <c r="X300" s="3">
        <f t="shared" si="53"/>
        <v>1</v>
      </c>
      <c r="Y300" s="3">
        <f t="shared" si="54"/>
        <v>0</v>
      </c>
    </row>
    <row r="301" spans="1:25" ht="14.45">
      <c r="A301" s="3" t="s">
        <v>130</v>
      </c>
      <c r="B301" s="4">
        <v>45748</v>
      </c>
      <c r="C301" s="3" t="s">
        <v>61</v>
      </c>
      <c r="D301" s="3" t="s">
        <v>52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f t="shared" si="44"/>
        <v>15.06</v>
      </c>
      <c r="L301" s="3">
        <f t="shared" si="45"/>
        <v>0</v>
      </c>
      <c r="M301" s="3">
        <v>0</v>
      </c>
      <c r="N301" s="3">
        <v>3.2</v>
      </c>
      <c r="O301" s="3">
        <f t="shared" si="46"/>
        <v>3.2</v>
      </c>
      <c r="P301" s="3">
        <f t="shared" si="47"/>
        <v>0</v>
      </c>
      <c r="Q301" s="3">
        <v>401582.58</v>
      </c>
      <c r="R301" s="3">
        <v>68454.929999999993</v>
      </c>
      <c r="S301" s="3">
        <f t="shared" si="48"/>
        <v>1</v>
      </c>
      <c r="T301" s="3">
        <f t="shared" si="49"/>
        <v>0</v>
      </c>
      <c r="U301" s="3">
        <f t="shared" si="50"/>
        <v>0</v>
      </c>
      <c r="V301" s="3">
        <f t="shared" si="51"/>
        <v>0</v>
      </c>
      <c r="W301" s="3">
        <f t="shared" si="52"/>
        <v>0</v>
      </c>
      <c r="X301" s="3">
        <f t="shared" si="53"/>
        <v>1</v>
      </c>
      <c r="Y301" s="3">
        <f t="shared" si="54"/>
        <v>0</v>
      </c>
    </row>
    <row r="302" spans="1:25" ht="14.45">
      <c r="A302" s="3" t="s">
        <v>131</v>
      </c>
      <c r="B302" s="4">
        <v>45658</v>
      </c>
      <c r="C302" s="3" t="s">
        <v>54</v>
      </c>
      <c r="D302" s="3" t="s">
        <v>62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f t="shared" si="44"/>
        <v>5.07</v>
      </c>
      <c r="L302" s="3">
        <f t="shared" si="45"/>
        <v>0</v>
      </c>
      <c r="M302" s="3">
        <v>1</v>
      </c>
      <c r="N302" s="3">
        <v>4.0999999999999996</v>
      </c>
      <c r="O302" s="3">
        <f t="shared" si="46"/>
        <v>4.0999999999999996</v>
      </c>
      <c r="P302" s="3">
        <f t="shared" si="47"/>
        <v>0</v>
      </c>
      <c r="Q302" s="3">
        <v>703812.99</v>
      </c>
      <c r="R302" s="3">
        <v>133577.98000000001</v>
      </c>
      <c r="S302" s="3">
        <f t="shared" si="48"/>
        <v>0</v>
      </c>
      <c r="T302" s="3">
        <f t="shared" si="49"/>
        <v>1</v>
      </c>
      <c r="U302" s="3">
        <f t="shared" si="50"/>
        <v>0</v>
      </c>
      <c r="V302" s="3">
        <f t="shared" si="51"/>
        <v>1</v>
      </c>
      <c r="W302" s="3">
        <f t="shared" si="52"/>
        <v>0</v>
      </c>
      <c r="X302" s="3">
        <f t="shared" si="53"/>
        <v>0</v>
      </c>
      <c r="Y302" s="3">
        <f t="shared" si="54"/>
        <v>0</v>
      </c>
    </row>
    <row r="303" spans="1:25" ht="14.45">
      <c r="A303" s="3" t="s">
        <v>131</v>
      </c>
      <c r="B303" s="4">
        <v>45689</v>
      </c>
      <c r="C303" s="3" t="s">
        <v>54</v>
      </c>
      <c r="D303" s="3" t="s">
        <v>62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f t="shared" si="44"/>
        <v>3.6</v>
      </c>
      <c r="L303" s="3">
        <f t="shared" si="45"/>
        <v>0</v>
      </c>
      <c r="M303" s="3">
        <v>0</v>
      </c>
      <c r="N303" s="3">
        <v>3.7</v>
      </c>
      <c r="O303" s="3">
        <f t="shared" si="46"/>
        <v>3.7</v>
      </c>
      <c r="P303" s="3">
        <f t="shared" si="47"/>
        <v>0</v>
      </c>
      <c r="Q303" s="3">
        <v>724346.73</v>
      </c>
      <c r="R303" s="3">
        <v>155013.91</v>
      </c>
      <c r="S303" s="3">
        <f t="shared" si="48"/>
        <v>0</v>
      </c>
      <c r="T303" s="3">
        <f t="shared" si="49"/>
        <v>1</v>
      </c>
      <c r="U303" s="3">
        <f t="shared" si="50"/>
        <v>0</v>
      </c>
      <c r="V303" s="3">
        <f t="shared" si="51"/>
        <v>1</v>
      </c>
      <c r="W303" s="3">
        <f t="shared" si="52"/>
        <v>0</v>
      </c>
      <c r="X303" s="3">
        <f t="shared" si="53"/>
        <v>0</v>
      </c>
      <c r="Y303" s="3">
        <f t="shared" si="54"/>
        <v>0</v>
      </c>
    </row>
    <row r="304" spans="1:25" ht="14.45">
      <c r="A304" s="3" t="s">
        <v>131</v>
      </c>
      <c r="B304" s="4">
        <v>45717</v>
      </c>
      <c r="C304" s="3" t="s">
        <v>54</v>
      </c>
      <c r="D304" s="3" t="s">
        <v>62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f t="shared" si="44"/>
        <v>4.3899999999999997</v>
      </c>
      <c r="L304" s="3">
        <f t="shared" si="45"/>
        <v>0</v>
      </c>
      <c r="M304" s="3">
        <v>1</v>
      </c>
      <c r="N304" s="3">
        <v>4.7</v>
      </c>
      <c r="O304" s="3">
        <f t="shared" si="46"/>
        <v>4.7</v>
      </c>
      <c r="P304" s="3">
        <f t="shared" si="47"/>
        <v>0</v>
      </c>
      <c r="Q304" s="3">
        <v>730890.01</v>
      </c>
      <c r="R304" s="3">
        <v>105502.56</v>
      </c>
      <c r="S304" s="3">
        <f t="shared" si="48"/>
        <v>0</v>
      </c>
      <c r="T304" s="3">
        <f t="shared" si="49"/>
        <v>1</v>
      </c>
      <c r="U304" s="3">
        <f t="shared" si="50"/>
        <v>0</v>
      </c>
      <c r="V304" s="3">
        <f t="shared" si="51"/>
        <v>1</v>
      </c>
      <c r="W304" s="3">
        <f t="shared" si="52"/>
        <v>0</v>
      </c>
      <c r="X304" s="3">
        <f t="shared" si="53"/>
        <v>0</v>
      </c>
      <c r="Y304" s="3">
        <f t="shared" si="54"/>
        <v>0</v>
      </c>
    </row>
    <row r="305" spans="1:25" ht="14.45">
      <c r="A305" s="3" t="s">
        <v>131</v>
      </c>
      <c r="B305" s="4">
        <v>45748</v>
      </c>
      <c r="C305" s="3" t="s">
        <v>54</v>
      </c>
      <c r="D305" s="3" t="s">
        <v>62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f t="shared" si="44"/>
        <v>2.79</v>
      </c>
      <c r="L305" s="3">
        <f t="shared" si="45"/>
        <v>0</v>
      </c>
      <c r="M305" s="3">
        <v>0</v>
      </c>
      <c r="N305" s="3">
        <v>4.2</v>
      </c>
      <c r="O305" s="3">
        <f t="shared" si="46"/>
        <v>4.2</v>
      </c>
      <c r="P305" s="3">
        <f t="shared" si="47"/>
        <v>0</v>
      </c>
      <c r="Q305" s="3">
        <v>780580.95</v>
      </c>
      <c r="R305" s="3">
        <v>138144.46</v>
      </c>
      <c r="S305" s="3">
        <f t="shared" si="48"/>
        <v>0</v>
      </c>
      <c r="T305" s="3">
        <f t="shared" si="49"/>
        <v>1</v>
      </c>
      <c r="U305" s="3">
        <f t="shared" si="50"/>
        <v>0</v>
      </c>
      <c r="V305" s="3">
        <f t="shared" si="51"/>
        <v>1</v>
      </c>
      <c r="W305" s="3">
        <f t="shared" si="52"/>
        <v>0</v>
      </c>
      <c r="X305" s="3">
        <f t="shared" si="53"/>
        <v>0</v>
      </c>
      <c r="Y305" s="3">
        <f t="shared" si="54"/>
        <v>0</v>
      </c>
    </row>
    <row r="306" spans="1:25" ht="14.45">
      <c r="A306" s="3" t="s">
        <v>132</v>
      </c>
      <c r="B306" s="4">
        <v>45658</v>
      </c>
      <c r="C306" s="3" t="s">
        <v>58</v>
      </c>
      <c r="D306" s="3" t="s">
        <v>50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f t="shared" si="44"/>
        <v>1.56</v>
      </c>
      <c r="L306" s="3">
        <f t="shared" si="45"/>
        <v>0</v>
      </c>
      <c r="M306" s="3">
        <v>0</v>
      </c>
      <c r="N306" s="3">
        <v>4</v>
      </c>
      <c r="O306" s="3">
        <f t="shared" si="46"/>
        <v>4</v>
      </c>
      <c r="P306" s="3">
        <f t="shared" si="47"/>
        <v>0</v>
      </c>
      <c r="Q306" s="3">
        <v>727957.48</v>
      </c>
      <c r="R306" s="3">
        <v>74805.23</v>
      </c>
      <c r="S306" s="3">
        <f t="shared" si="48"/>
        <v>0</v>
      </c>
      <c r="T306" s="3">
        <f t="shared" si="49"/>
        <v>0</v>
      </c>
      <c r="U306" s="3">
        <f t="shared" si="50"/>
        <v>1</v>
      </c>
      <c r="V306" s="3">
        <f t="shared" si="51"/>
        <v>0</v>
      </c>
      <c r="W306" s="3">
        <f t="shared" si="52"/>
        <v>1</v>
      </c>
      <c r="X306" s="3">
        <f t="shared" si="53"/>
        <v>0</v>
      </c>
      <c r="Y306" s="3">
        <f t="shared" si="54"/>
        <v>0</v>
      </c>
    </row>
    <row r="307" spans="1:25" ht="14.45">
      <c r="A307" s="3" t="s">
        <v>132</v>
      </c>
      <c r="B307" s="4">
        <v>45689</v>
      </c>
      <c r="C307" s="3" t="s">
        <v>58</v>
      </c>
      <c r="D307" s="3" t="s">
        <v>50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f t="shared" si="44"/>
        <v>15.82</v>
      </c>
      <c r="L307" s="3">
        <f t="shared" si="45"/>
        <v>0</v>
      </c>
      <c r="M307" s="3">
        <v>0</v>
      </c>
      <c r="N307" s="3">
        <v>3.8</v>
      </c>
      <c r="O307" s="3">
        <f t="shared" si="46"/>
        <v>3.8</v>
      </c>
      <c r="P307" s="3">
        <f t="shared" si="47"/>
        <v>0</v>
      </c>
      <c r="Q307" s="3">
        <v>538376</v>
      </c>
      <c r="R307" s="3">
        <v>87605.62</v>
      </c>
      <c r="S307" s="3">
        <f t="shared" si="48"/>
        <v>0</v>
      </c>
      <c r="T307" s="3">
        <f t="shared" si="49"/>
        <v>0</v>
      </c>
      <c r="U307" s="3">
        <f t="shared" si="50"/>
        <v>1</v>
      </c>
      <c r="V307" s="3">
        <f t="shared" si="51"/>
        <v>0</v>
      </c>
      <c r="W307" s="3">
        <f t="shared" si="52"/>
        <v>1</v>
      </c>
      <c r="X307" s="3">
        <f t="shared" si="53"/>
        <v>0</v>
      </c>
      <c r="Y307" s="3">
        <f t="shared" si="54"/>
        <v>0</v>
      </c>
    </row>
    <row r="308" spans="1:25" ht="14.45">
      <c r="A308" s="3" t="s">
        <v>132</v>
      </c>
      <c r="B308" s="4">
        <v>45717</v>
      </c>
      <c r="C308" s="3" t="s">
        <v>58</v>
      </c>
      <c r="D308" s="3" t="s">
        <v>50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f t="shared" si="44"/>
        <v>1.17</v>
      </c>
      <c r="L308" s="3">
        <f t="shared" si="45"/>
        <v>0</v>
      </c>
      <c r="M308" s="3">
        <v>1</v>
      </c>
      <c r="N308" s="3">
        <v>3.7</v>
      </c>
      <c r="O308" s="3">
        <f t="shared" si="46"/>
        <v>3.7</v>
      </c>
      <c r="P308" s="3">
        <f t="shared" si="47"/>
        <v>0</v>
      </c>
      <c r="Q308" s="3">
        <v>665342.49</v>
      </c>
      <c r="R308" s="3">
        <v>93441.81</v>
      </c>
      <c r="S308" s="3">
        <f t="shared" si="48"/>
        <v>0</v>
      </c>
      <c r="T308" s="3">
        <f t="shared" si="49"/>
        <v>0</v>
      </c>
      <c r="U308" s="3">
        <f t="shared" si="50"/>
        <v>1</v>
      </c>
      <c r="V308" s="3">
        <f t="shared" si="51"/>
        <v>0</v>
      </c>
      <c r="W308" s="3">
        <f t="shared" si="52"/>
        <v>1</v>
      </c>
      <c r="X308" s="3">
        <f t="shared" si="53"/>
        <v>0</v>
      </c>
      <c r="Y308" s="3">
        <f t="shared" si="54"/>
        <v>0</v>
      </c>
    </row>
    <row r="309" spans="1:25" ht="14.45">
      <c r="A309" s="3" t="s">
        <v>132</v>
      </c>
      <c r="B309" s="4">
        <v>45748</v>
      </c>
      <c r="C309" s="3" t="s">
        <v>58</v>
      </c>
      <c r="D309" s="3" t="s">
        <v>50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f t="shared" si="44"/>
        <v>3.82</v>
      </c>
      <c r="L309" s="3">
        <f t="shared" si="45"/>
        <v>0</v>
      </c>
      <c r="M309" s="3">
        <v>0</v>
      </c>
      <c r="N309" s="3">
        <v>3.5</v>
      </c>
      <c r="O309" s="3">
        <f t="shared" si="46"/>
        <v>3.5</v>
      </c>
      <c r="P309" s="3">
        <f t="shared" si="47"/>
        <v>0</v>
      </c>
      <c r="Q309" s="3">
        <v>651164.18000000005</v>
      </c>
      <c r="R309" s="3">
        <v>109466.5</v>
      </c>
      <c r="S309" s="3">
        <f t="shared" si="48"/>
        <v>0</v>
      </c>
      <c r="T309" s="3">
        <f t="shared" si="49"/>
        <v>0</v>
      </c>
      <c r="U309" s="3">
        <f t="shared" si="50"/>
        <v>1</v>
      </c>
      <c r="V309" s="3">
        <f t="shared" si="51"/>
        <v>0</v>
      </c>
      <c r="W309" s="3">
        <f t="shared" si="52"/>
        <v>1</v>
      </c>
      <c r="X309" s="3">
        <f t="shared" si="53"/>
        <v>0</v>
      </c>
      <c r="Y309" s="3">
        <f t="shared" si="54"/>
        <v>0</v>
      </c>
    </row>
    <row r="310" spans="1:25" ht="14.45">
      <c r="A310" s="3" t="s">
        <v>133</v>
      </c>
      <c r="B310" s="4">
        <v>45658</v>
      </c>
      <c r="C310" s="3" t="s">
        <v>58</v>
      </c>
      <c r="D310" s="3" t="s">
        <v>52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f t="shared" si="44"/>
        <v>4.1399999999999997</v>
      </c>
      <c r="L310" s="3">
        <f t="shared" si="45"/>
        <v>0</v>
      </c>
      <c r="M310" s="3">
        <v>0</v>
      </c>
      <c r="N310" s="3">
        <v>4</v>
      </c>
      <c r="O310" s="3">
        <f t="shared" si="46"/>
        <v>4</v>
      </c>
      <c r="P310" s="3">
        <f t="shared" si="47"/>
        <v>0</v>
      </c>
      <c r="Q310" s="3">
        <v>628538.30000000005</v>
      </c>
      <c r="R310" s="3">
        <v>112509.15</v>
      </c>
      <c r="S310" s="3">
        <f t="shared" si="48"/>
        <v>1</v>
      </c>
      <c r="T310" s="3">
        <f t="shared" si="49"/>
        <v>0</v>
      </c>
      <c r="U310" s="3">
        <f t="shared" si="50"/>
        <v>0</v>
      </c>
      <c r="V310" s="3">
        <f t="shared" si="51"/>
        <v>0</v>
      </c>
      <c r="W310" s="3">
        <f t="shared" si="52"/>
        <v>1</v>
      </c>
      <c r="X310" s="3">
        <f t="shared" si="53"/>
        <v>0</v>
      </c>
      <c r="Y310" s="3">
        <f t="shared" si="54"/>
        <v>0</v>
      </c>
    </row>
    <row r="311" spans="1:25" ht="14.45">
      <c r="A311" s="3" t="s">
        <v>133</v>
      </c>
      <c r="B311" s="4">
        <v>45689</v>
      </c>
      <c r="C311" s="3" t="s">
        <v>58</v>
      </c>
      <c r="D311" s="3" t="s">
        <v>52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f t="shared" si="44"/>
        <v>1.1000000000000001</v>
      </c>
      <c r="L311" s="3">
        <f t="shared" si="45"/>
        <v>0</v>
      </c>
      <c r="M311" s="3">
        <v>0</v>
      </c>
      <c r="N311" s="3">
        <v>4.3</v>
      </c>
      <c r="O311" s="3">
        <f t="shared" si="46"/>
        <v>4.3</v>
      </c>
      <c r="P311" s="3">
        <f t="shared" si="47"/>
        <v>0</v>
      </c>
      <c r="Q311" s="3">
        <v>536524.84</v>
      </c>
      <c r="R311" s="3">
        <v>92752.94</v>
      </c>
      <c r="S311" s="3">
        <f t="shared" si="48"/>
        <v>1</v>
      </c>
      <c r="T311" s="3">
        <f t="shared" si="49"/>
        <v>0</v>
      </c>
      <c r="U311" s="3">
        <f t="shared" si="50"/>
        <v>0</v>
      </c>
      <c r="V311" s="3">
        <f t="shared" si="51"/>
        <v>0</v>
      </c>
      <c r="W311" s="3">
        <f t="shared" si="52"/>
        <v>1</v>
      </c>
      <c r="X311" s="3">
        <f t="shared" si="53"/>
        <v>0</v>
      </c>
      <c r="Y311" s="3">
        <f t="shared" si="54"/>
        <v>0</v>
      </c>
    </row>
    <row r="312" spans="1:25" ht="14.45">
      <c r="A312" s="3" t="s">
        <v>133</v>
      </c>
      <c r="B312" s="4">
        <v>45717</v>
      </c>
      <c r="C312" s="3" t="s">
        <v>58</v>
      </c>
      <c r="D312" s="3" t="s">
        <v>52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f t="shared" si="44"/>
        <v>10.6</v>
      </c>
      <c r="L312" s="3">
        <f t="shared" si="45"/>
        <v>0</v>
      </c>
      <c r="M312" s="3">
        <v>0</v>
      </c>
      <c r="N312" s="3">
        <v>4.2</v>
      </c>
      <c r="O312" s="3">
        <f t="shared" si="46"/>
        <v>4.2</v>
      </c>
      <c r="P312" s="3">
        <f t="shared" si="47"/>
        <v>0</v>
      </c>
      <c r="Q312" s="3">
        <v>621677.30000000005</v>
      </c>
      <c r="R312" s="3">
        <v>105192.52</v>
      </c>
      <c r="S312" s="3">
        <f t="shared" si="48"/>
        <v>1</v>
      </c>
      <c r="T312" s="3">
        <f t="shared" si="49"/>
        <v>0</v>
      </c>
      <c r="U312" s="3">
        <f t="shared" si="50"/>
        <v>0</v>
      </c>
      <c r="V312" s="3">
        <f t="shared" si="51"/>
        <v>0</v>
      </c>
      <c r="W312" s="3">
        <f t="shared" si="52"/>
        <v>1</v>
      </c>
      <c r="X312" s="3">
        <f t="shared" si="53"/>
        <v>0</v>
      </c>
      <c r="Y312" s="3">
        <f t="shared" si="54"/>
        <v>0</v>
      </c>
    </row>
    <row r="313" spans="1:25" ht="14.45">
      <c r="A313" s="3" t="s">
        <v>133</v>
      </c>
      <c r="B313" s="4">
        <v>45748</v>
      </c>
      <c r="C313" s="3" t="s">
        <v>58</v>
      </c>
      <c r="D313" s="3" t="s">
        <v>52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f t="shared" si="44"/>
        <v>0.9</v>
      </c>
      <c r="L313" s="3">
        <f t="shared" si="45"/>
        <v>0</v>
      </c>
      <c r="M313" s="3">
        <v>0</v>
      </c>
      <c r="N313" s="3"/>
      <c r="O313" s="3">
        <f t="shared" si="46"/>
        <v>3.9</v>
      </c>
      <c r="P313" s="3">
        <f t="shared" si="47"/>
        <v>1</v>
      </c>
      <c r="Q313" s="3">
        <v>771129.07</v>
      </c>
      <c r="R313" s="3">
        <v>116851.13</v>
      </c>
      <c r="S313" s="3">
        <f t="shared" si="48"/>
        <v>1</v>
      </c>
      <c r="T313" s="3">
        <f t="shared" si="49"/>
        <v>0</v>
      </c>
      <c r="U313" s="3">
        <f t="shared" si="50"/>
        <v>0</v>
      </c>
      <c r="V313" s="3">
        <f t="shared" si="51"/>
        <v>0</v>
      </c>
      <c r="W313" s="3">
        <f t="shared" si="52"/>
        <v>1</v>
      </c>
      <c r="X313" s="3">
        <f t="shared" si="53"/>
        <v>0</v>
      </c>
      <c r="Y313" s="3">
        <f t="shared" si="54"/>
        <v>0</v>
      </c>
    </row>
    <row r="314" spans="1:25" ht="14.45">
      <c r="A314" s="3" t="s">
        <v>134</v>
      </c>
      <c r="B314" s="4">
        <v>45658</v>
      </c>
      <c r="C314" s="3" t="s">
        <v>54</v>
      </c>
      <c r="D314" s="3" t="s">
        <v>50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f t="shared" si="44"/>
        <v>0.2</v>
      </c>
      <c r="L314" s="3">
        <f t="shared" si="45"/>
        <v>0</v>
      </c>
      <c r="M314" s="3">
        <v>0</v>
      </c>
      <c r="N314" s="3">
        <v>3.4</v>
      </c>
      <c r="O314" s="3">
        <f t="shared" si="46"/>
        <v>3.4</v>
      </c>
      <c r="P314" s="3">
        <f t="shared" si="47"/>
        <v>0</v>
      </c>
      <c r="Q314" s="3">
        <v>702052.47</v>
      </c>
      <c r="R314" s="3">
        <v>121732.51</v>
      </c>
      <c r="S314" s="3">
        <f t="shared" si="48"/>
        <v>0</v>
      </c>
      <c r="T314" s="3">
        <f t="shared" si="49"/>
        <v>0</v>
      </c>
      <c r="U314" s="3">
        <f t="shared" si="50"/>
        <v>1</v>
      </c>
      <c r="V314" s="3">
        <f t="shared" si="51"/>
        <v>1</v>
      </c>
      <c r="W314" s="3">
        <f t="shared" si="52"/>
        <v>0</v>
      </c>
      <c r="X314" s="3">
        <f t="shared" si="53"/>
        <v>0</v>
      </c>
      <c r="Y314" s="3">
        <f t="shared" si="54"/>
        <v>0</v>
      </c>
    </row>
    <row r="315" spans="1:25" ht="14.45">
      <c r="A315" s="3" t="s">
        <v>134</v>
      </c>
      <c r="B315" s="4">
        <v>45689</v>
      </c>
      <c r="C315" s="3" t="s">
        <v>54</v>
      </c>
      <c r="D315" s="3" t="s">
        <v>50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f t="shared" si="44"/>
        <v>4.67</v>
      </c>
      <c r="L315" s="3">
        <f t="shared" si="45"/>
        <v>0</v>
      </c>
      <c r="M315" s="3">
        <v>0</v>
      </c>
      <c r="N315" s="3"/>
      <c r="O315" s="3">
        <f t="shared" si="46"/>
        <v>3.9</v>
      </c>
      <c r="P315" s="3">
        <f t="shared" si="47"/>
        <v>1</v>
      </c>
      <c r="Q315" s="3">
        <v>688368.46</v>
      </c>
      <c r="R315" s="3">
        <v>93588.42</v>
      </c>
      <c r="S315" s="3">
        <f t="shared" si="48"/>
        <v>0</v>
      </c>
      <c r="T315" s="3">
        <f t="shared" si="49"/>
        <v>0</v>
      </c>
      <c r="U315" s="3">
        <f t="shared" si="50"/>
        <v>1</v>
      </c>
      <c r="V315" s="3">
        <f t="shared" si="51"/>
        <v>1</v>
      </c>
      <c r="W315" s="3">
        <f t="shared" si="52"/>
        <v>0</v>
      </c>
      <c r="X315" s="3">
        <f t="shared" si="53"/>
        <v>0</v>
      </c>
      <c r="Y315" s="3">
        <f t="shared" si="54"/>
        <v>0</v>
      </c>
    </row>
    <row r="316" spans="1:25" ht="14.45">
      <c r="A316" s="3" t="s">
        <v>134</v>
      </c>
      <c r="B316" s="4">
        <v>45717</v>
      </c>
      <c r="C316" s="3" t="s">
        <v>54</v>
      </c>
      <c r="D316" s="3" t="s">
        <v>50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f t="shared" si="44"/>
        <v>4.38</v>
      </c>
      <c r="L316" s="3">
        <f t="shared" si="45"/>
        <v>0</v>
      </c>
      <c r="M316" s="3">
        <v>1</v>
      </c>
      <c r="N316" s="3">
        <v>3.9</v>
      </c>
      <c r="O316" s="3">
        <f t="shared" si="46"/>
        <v>3.9</v>
      </c>
      <c r="P316" s="3">
        <f t="shared" si="47"/>
        <v>0</v>
      </c>
      <c r="Q316" s="3">
        <v>712375.77</v>
      </c>
      <c r="R316" s="3">
        <v>104171.53</v>
      </c>
      <c r="S316" s="3">
        <f t="shared" si="48"/>
        <v>0</v>
      </c>
      <c r="T316" s="3">
        <f t="shared" si="49"/>
        <v>0</v>
      </c>
      <c r="U316" s="3">
        <f t="shared" si="50"/>
        <v>1</v>
      </c>
      <c r="V316" s="3">
        <f t="shared" si="51"/>
        <v>1</v>
      </c>
      <c r="W316" s="3">
        <f t="shared" si="52"/>
        <v>0</v>
      </c>
      <c r="X316" s="3">
        <f t="shared" si="53"/>
        <v>0</v>
      </c>
      <c r="Y316" s="3">
        <f t="shared" si="54"/>
        <v>0</v>
      </c>
    </row>
    <row r="317" spans="1:25" ht="14.45">
      <c r="A317" s="3" t="s">
        <v>134</v>
      </c>
      <c r="B317" s="4">
        <v>45748</v>
      </c>
      <c r="C317" s="3" t="s">
        <v>54</v>
      </c>
      <c r="D317" s="3" t="s">
        <v>50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f t="shared" si="44"/>
        <v>4.4800000000000004</v>
      </c>
      <c r="L317" s="3">
        <f t="shared" si="45"/>
        <v>0</v>
      </c>
      <c r="M317" s="3">
        <v>0</v>
      </c>
      <c r="N317" s="3">
        <v>4.2</v>
      </c>
      <c r="O317" s="3">
        <f t="shared" si="46"/>
        <v>4.2</v>
      </c>
      <c r="P317" s="3">
        <f t="shared" si="47"/>
        <v>0</v>
      </c>
      <c r="Q317" s="3">
        <v>844710.67</v>
      </c>
      <c r="R317" s="3">
        <v>137140.18</v>
      </c>
      <c r="S317" s="3">
        <f t="shared" si="48"/>
        <v>0</v>
      </c>
      <c r="T317" s="3">
        <f t="shared" si="49"/>
        <v>0</v>
      </c>
      <c r="U317" s="3">
        <f t="shared" si="50"/>
        <v>1</v>
      </c>
      <c r="V317" s="3">
        <f t="shared" si="51"/>
        <v>1</v>
      </c>
      <c r="W317" s="3">
        <f t="shared" si="52"/>
        <v>0</v>
      </c>
      <c r="X317" s="3">
        <f t="shared" si="53"/>
        <v>0</v>
      </c>
      <c r="Y317" s="3">
        <f t="shared" si="54"/>
        <v>0</v>
      </c>
    </row>
    <row r="318" spans="1:25" ht="14.45">
      <c r="A318" s="3" t="s">
        <v>135</v>
      </c>
      <c r="B318" s="4">
        <v>45658</v>
      </c>
      <c r="C318" s="3" t="s">
        <v>49</v>
      </c>
      <c r="D318" s="3" t="s">
        <v>50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f t="shared" si="44"/>
        <v>1.02</v>
      </c>
      <c r="L318" s="3">
        <f t="shared" si="45"/>
        <v>0</v>
      </c>
      <c r="M318" s="3">
        <v>1</v>
      </c>
      <c r="N318" s="3">
        <v>4</v>
      </c>
      <c r="O318" s="3">
        <f t="shared" si="46"/>
        <v>4</v>
      </c>
      <c r="P318" s="3">
        <f t="shared" si="47"/>
        <v>0</v>
      </c>
      <c r="Q318" s="3">
        <v>620264.19999999995</v>
      </c>
      <c r="R318" s="3">
        <v>91365.64</v>
      </c>
      <c r="S318" s="3">
        <f t="shared" si="48"/>
        <v>0</v>
      </c>
      <c r="T318" s="3">
        <f t="shared" si="49"/>
        <v>0</v>
      </c>
      <c r="U318" s="3">
        <f t="shared" si="50"/>
        <v>1</v>
      </c>
      <c r="V318" s="3">
        <f t="shared" si="51"/>
        <v>0</v>
      </c>
      <c r="W318" s="3">
        <f t="shared" si="52"/>
        <v>0</v>
      </c>
      <c r="X318" s="3">
        <f t="shared" si="53"/>
        <v>0</v>
      </c>
      <c r="Y318" s="3">
        <f t="shared" si="54"/>
        <v>1</v>
      </c>
    </row>
    <row r="319" spans="1:25" ht="14.45">
      <c r="A319" s="3" t="s">
        <v>135</v>
      </c>
      <c r="B319" s="4">
        <v>45689</v>
      </c>
      <c r="C319" s="3" t="s">
        <v>49</v>
      </c>
      <c r="D319" s="3" t="s">
        <v>50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f t="shared" si="44"/>
        <v>0.2</v>
      </c>
      <c r="L319" s="3">
        <f t="shared" si="45"/>
        <v>0</v>
      </c>
      <c r="M319" s="3">
        <v>0</v>
      </c>
      <c r="N319" s="3">
        <v>3.8</v>
      </c>
      <c r="O319" s="3">
        <f t="shared" si="46"/>
        <v>3.8</v>
      </c>
      <c r="P319" s="3">
        <f t="shared" si="47"/>
        <v>0</v>
      </c>
      <c r="Q319" s="3">
        <v>536845.42000000004</v>
      </c>
      <c r="R319" s="3">
        <v>107473.75</v>
      </c>
      <c r="S319" s="3">
        <f t="shared" si="48"/>
        <v>0</v>
      </c>
      <c r="T319" s="3">
        <f t="shared" si="49"/>
        <v>0</v>
      </c>
      <c r="U319" s="3">
        <f t="shared" si="50"/>
        <v>1</v>
      </c>
      <c r="V319" s="3">
        <f t="shared" si="51"/>
        <v>0</v>
      </c>
      <c r="W319" s="3">
        <f t="shared" si="52"/>
        <v>0</v>
      </c>
      <c r="X319" s="3">
        <f t="shared" si="53"/>
        <v>0</v>
      </c>
      <c r="Y319" s="3">
        <f t="shared" si="54"/>
        <v>1</v>
      </c>
    </row>
    <row r="320" spans="1:25" ht="14.45">
      <c r="A320" s="3" t="s">
        <v>135</v>
      </c>
      <c r="B320" s="4">
        <v>45717</v>
      </c>
      <c r="C320" s="3" t="s">
        <v>49</v>
      </c>
      <c r="D320" s="3" t="s">
        <v>50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f t="shared" si="44"/>
        <v>4.8899999999999997</v>
      </c>
      <c r="L320" s="3">
        <f t="shared" si="45"/>
        <v>0</v>
      </c>
      <c r="M320" s="3">
        <v>1</v>
      </c>
      <c r="N320" s="3">
        <v>4.2</v>
      </c>
      <c r="O320" s="3">
        <f t="shared" si="46"/>
        <v>4.2</v>
      </c>
      <c r="P320" s="3">
        <f t="shared" si="47"/>
        <v>0</v>
      </c>
      <c r="Q320" s="3">
        <v>726776.22</v>
      </c>
      <c r="R320" s="3">
        <v>90804.49</v>
      </c>
      <c r="S320" s="3">
        <f t="shared" si="48"/>
        <v>0</v>
      </c>
      <c r="T320" s="3">
        <f t="shared" si="49"/>
        <v>0</v>
      </c>
      <c r="U320" s="3">
        <f t="shared" si="50"/>
        <v>1</v>
      </c>
      <c r="V320" s="3">
        <f t="shared" si="51"/>
        <v>0</v>
      </c>
      <c r="W320" s="3">
        <f t="shared" si="52"/>
        <v>0</v>
      </c>
      <c r="X320" s="3">
        <f t="shared" si="53"/>
        <v>0</v>
      </c>
      <c r="Y320" s="3">
        <f t="shared" si="54"/>
        <v>1</v>
      </c>
    </row>
    <row r="321" spans="1:25" ht="14.45">
      <c r="A321" s="3" t="s">
        <v>135</v>
      </c>
      <c r="B321" s="4">
        <v>45748</v>
      </c>
      <c r="C321" s="3" t="s">
        <v>49</v>
      </c>
      <c r="D321" s="3" t="s">
        <v>50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f t="shared" si="44"/>
        <v>11.82</v>
      </c>
      <c r="L321" s="3">
        <f t="shared" si="45"/>
        <v>0</v>
      </c>
      <c r="M321" s="3">
        <v>0</v>
      </c>
      <c r="N321" s="3">
        <v>4.0999999999999996</v>
      </c>
      <c r="O321" s="3">
        <f t="shared" si="46"/>
        <v>4.0999999999999996</v>
      </c>
      <c r="P321" s="3">
        <f t="shared" si="47"/>
        <v>0</v>
      </c>
      <c r="Q321" s="3">
        <v>559660.84</v>
      </c>
      <c r="R321" s="3">
        <v>71443.61</v>
      </c>
      <c r="S321" s="3">
        <f t="shared" si="48"/>
        <v>0</v>
      </c>
      <c r="T321" s="3">
        <f t="shared" si="49"/>
        <v>0</v>
      </c>
      <c r="U321" s="3">
        <f t="shared" si="50"/>
        <v>1</v>
      </c>
      <c r="V321" s="3">
        <f t="shared" si="51"/>
        <v>0</v>
      </c>
      <c r="W321" s="3">
        <f t="shared" si="52"/>
        <v>0</v>
      </c>
      <c r="X321" s="3">
        <f t="shared" si="53"/>
        <v>0</v>
      </c>
      <c r="Y321" s="3">
        <f t="shared" si="54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BF14-4E9E-4C11-AD18-CBF1483FEFA3}">
  <dimension ref="A1:L349"/>
  <sheetViews>
    <sheetView topLeftCell="A2" workbookViewId="0">
      <selection activeCell="H16" sqref="H16"/>
    </sheetView>
  </sheetViews>
  <sheetFormatPr defaultRowHeight="13.9"/>
  <cols>
    <col min="1" max="1" width="16" customWidth="1"/>
    <col min="2" max="2" width="14.75" customWidth="1"/>
    <col min="4" max="4" width="17.625" customWidth="1"/>
    <col min="5" max="5" width="12.75" customWidth="1"/>
    <col min="6" max="6" width="12.25" customWidth="1"/>
    <col min="9" max="9" width="13.125" bestFit="1" customWidth="1"/>
    <col min="10" max="10" width="10.375" customWidth="1"/>
    <col min="11" max="11" width="11.625" customWidth="1"/>
    <col min="12" max="12" width="10.5" customWidth="1"/>
  </cols>
  <sheetData>
    <row r="1" spans="1:9" ht="14.45">
      <c r="A1" s="2" t="s">
        <v>14</v>
      </c>
      <c r="B1" s="2" t="s">
        <v>13</v>
      </c>
    </row>
    <row r="2" spans="1:9" ht="14.45">
      <c r="A2" s="3">
        <v>8302</v>
      </c>
      <c r="B2" s="3">
        <v>658832.62</v>
      </c>
    </row>
    <row r="3" spans="1:9" ht="14.45">
      <c r="A3" s="3">
        <v>8487</v>
      </c>
      <c r="B3" s="3">
        <v>634436</v>
      </c>
    </row>
    <row r="4" spans="1:9" ht="14.45">
      <c r="A4" s="3">
        <v>9113</v>
      </c>
      <c r="B4" s="3">
        <v>678722.06</v>
      </c>
    </row>
    <row r="5" spans="1:9" ht="14.45">
      <c r="A5" s="3">
        <v>9431</v>
      </c>
      <c r="B5" s="3">
        <v>658920.30000000005</v>
      </c>
    </row>
    <row r="6" spans="1:9" ht="14.45">
      <c r="A6" s="3">
        <v>9545</v>
      </c>
      <c r="B6" s="3">
        <v>741341.44</v>
      </c>
      <c r="D6" t="s">
        <v>143</v>
      </c>
    </row>
    <row r="7" spans="1:9" ht="15" thickBot="1">
      <c r="A7" s="3">
        <v>9792</v>
      </c>
      <c r="B7" s="3">
        <v>761835.34</v>
      </c>
    </row>
    <row r="8" spans="1:9" ht="14.45">
      <c r="A8" s="3">
        <v>10616</v>
      </c>
      <c r="B8" s="3">
        <v>806615.54</v>
      </c>
      <c r="D8" s="9" t="s">
        <v>144</v>
      </c>
      <c r="E8" s="9"/>
    </row>
    <row r="9" spans="1:9" ht="14.45">
      <c r="A9" s="3">
        <v>8567</v>
      </c>
      <c r="B9" s="3">
        <v>850164.26</v>
      </c>
      <c r="D9" t="s">
        <v>145</v>
      </c>
      <c r="E9">
        <v>0.85807070804410468</v>
      </c>
    </row>
    <row r="10" spans="1:9" ht="14.45">
      <c r="A10" s="3">
        <v>10979</v>
      </c>
      <c r="B10" s="3">
        <v>930581.7</v>
      </c>
      <c r="D10" t="s">
        <v>146</v>
      </c>
      <c r="E10">
        <v>0.73628534000331114</v>
      </c>
    </row>
    <row r="11" spans="1:9" ht="14.45">
      <c r="A11" s="3">
        <v>9459</v>
      </c>
      <c r="B11" s="3">
        <v>779010.94</v>
      </c>
      <c r="D11" t="s">
        <v>147</v>
      </c>
      <c r="E11">
        <v>0.73545604861967373</v>
      </c>
    </row>
    <row r="12" spans="1:9" ht="14.45">
      <c r="A12" s="3">
        <v>9172</v>
      </c>
      <c r="B12" s="3">
        <v>723060.76</v>
      </c>
      <c r="D12" t="s">
        <v>148</v>
      </c>
      <c r="E12">
        <v>53373.736380790499</v>
      </c>
    </row>
    <row r="13" spans="1:9" ht="15" thickBot="1">
      <c r="A13" s="3">
        <v>11230</v>
      </c>
      <c r="B13" s="3">
        <v>910791.94</v>
      </c>
      <c r="D13" s="7" t="s">
        <v>149</v>
      </c>
      <c r="E13" s="7">
        <v>320</v>
      </c>
    </row>
    <row r="14" spans="1:9" ht="14.45">
      <c r="A14" s="3">
        <v>12775</v>
      </c>
      <c r="B14" s="3">
        <v>922168.6</v>
      </c>
    </row>
    <row r="15" spans="1:9" ht="15" thickBot="1">
      <c r="A15" s="3">
        <v>10054</v>
      </c>
      <c r="B15" s="3">
        <v>726606.28</v>
      </c>
      <c r="D15" t="s">
        <v>150</v>
      </c>
    </row>
    <row r="16" spans="1:9" ht="14.45">
      <c r="A16" s="3">
        <v>8895</v>
      </c>
      <c r="B16" s="3">
        <v>746501.09</v>
      </c>
      <c r="D16" s="8"/>
      <c r="E16" s="8" t="s">
        <v>151</v>
      </c>
      <c r="F16" s="8" t="s">
        <v>152</v>
      </c>
      <c r="G16" s="8" t="s">
        <v>153</v>
      </c>
      <c r="H16" s="8" t="s">
        <v>154</v>
      </c>
      <c r="I16" s="8" t="s">
        <v>155</v>
      </c>
    </row>
    <row r="17" spans="1:12" ht="14.45">
      <c r="A17" s="3">
        <v>10940</v>
      </c>
      <c r="B17" s="3">
        <v>834017.02</v>
      </c>
      <c r="D17" t="s">
        <v>156</v>
      </c>
      <c r="E17">
        <v>1</v>
      </c>
      <c r="F17">
        <v>2529264292982.4736</v>
      </c>
      <c r="G17">
        <v>2529264292982.4736</v>
      </c>
      <c r="H17">
        <v>887.84877611276033</v>
      </c>
      <c r="I17">
        <v>4.7503615090053331E-94</v>
      </c>
    </row>
    <row r="18" spans="1:12" ht="14.45">
      <c r="A18" s="3">
        <v>7057</v>
      </c>
      <c r="B18" s="3">
        <v>666152.52</v>
      </c>
      <c r="D18" t="s">
        <v>157</v>
      </c>
      <c r="E18">
        <v>318</v>
      </c>
      <c r="F18">
        <v>905904323808.26587</v>
      </c>
      <c r="G18">
        <v>2848755735.246119</v>
      </c>
    </row>
    <row r="19" spans="1:12" ht="15" thickBot="1">
      <c r="A19" s="3">
        <v>4263</v>
      </c>
      <c r="B19" s="3">
        <v>573155.18999999994</v>
      </c>
      <c r="D19" s="7" t="s">
        <v>158</v>
      </c>
      <c r="E19" s="7">
        <v>319</v>
      </c>
      <c r="F19" s="7">
        <v>3435168616790.7393</v>
      </c>
      <c r="G19" s="7"/>
      <c r="H19" s="7"/>
      <c r="I19" s="7"/>
    </row>
    <row r="20" spans="1:12" ht="15" thickBot="1">
      <c r="A20" s="3">
        <v>5538</v>
      </c>
      <c r="B20" s="3">
        <v>666573.19999999995</v>
      </c>
    </row>
    <row r="21" spans="1:12" ht="14.45">
      <c r="A21" s="3">
        <v>4865</v>
      </c>
      <c r="B21" s="3">
        <v>591619.94999999995</v>
      </c>
      <c r="D21" s="8"/>
      <c r="E21" s="8" t="s">
        <v>159</v>
      </c>
      <c r="F21" s="8" t="s">
        <v>148</v>
      </c>
      <c r="G21" s="8" t="s">
        <v>160</v>
      </c>
      <c r="H21" s="8" t="s">
        <v>7</v>
      </c>
      <c r="I21" s="8" t="s">
        <v>161</v>
      </c>
      <c r="J21" s="8" t="s">
        <v>162</v>
      </c>
      <c r="K21" s="8" t="s">
        <v>163</v>
      </c>
      <c r="L21" s="8" t="s">
        <v>164</v>
      </c>
    </row>
    <row r="22" spans="1:12" ht="14.45">
      <c r="A22" s="3">
        <v>2822</v>
      </c>
      <c r="B22" s="3">
        <v>415721.82</v>
      </c>
      <c r="D22" t="s">
        <v>165</v>
      </c>
      <c r="E22">
        <v>446410.58293395344</v>
      </c>
      <c r="F22">
        <v>8407.7382630059928</v>
      </c>
      <c r="G22">
        <v>53.095204556754318</v>
      </c>
      <c r="H22">
        <v>4.0862695711507226E-160</v>
      </c>
      <c r="I22">
        <v>429868.76191129786</v>
      </c>
      <c r="J22">
        <v>462952.40395660902</v>
      </c>
      <c r="K22">
        <v>429868.76191129786</v>
      </c>
      <c r="L22">
        <v>462952.40395660902</v>
      </c>
    </row>
    <row r="23" spans="1:12" ht="15" thickBot="1">
      <c r="A23" s="3">
        <v>2121</v>
      </c>
      <c r="B23" s="3">
        <v>491905.13</v>
      </c>
      <c r="D23" s="7" t="s">
        <v>14</v>
      </c>
      <c r="E23" s="7">
        <v>35.678031072640458</v>
      </c>
      <c r="F23" s="7">
        <v>1.1973782890340821</v>
      </c>
      <c r="G23" s="7">
        <v>29.796791372776362</v>
      </c>
      <c r="H23" s="7">
        <v>4.7503615090054677E-94</v>
      </c>
      <c r="I23" s="7">
        <v>33.322246825554025</v>
      </c>
      <c r="J23" s="7">
        <v>38.033815319726891</v>
      </c>
      <c r="K23" s="7">
        <v>33.322246825554025</v>
      </c>
      <c r="L23" s="7">
        <v>38.033815319726891</v>
      </c>
    </row>
    <row r="24" spans="1:12" ht="14.45">
      <c r="A24" s="3">
        <v>3364</v>
      </c>
      <c r="B24" s="3">
        <v>555929.4</v>
      </c>
    </row>
    <row r="25" spans="1:12" ht="14.45">
      <c r="A25" s="3">
        <v>2613</v>
      </c>
      <c r="B25" s="3">
        <v>565810.99</v>
      </c>
    </row>
    <row r="26" spans="1:12" ht="14.45">
      <c r="A26" s="3">
        <v>10218</v>
      </c>
      <c r="B26" s="3">
        <v>811771.14</v>
      </c>
    </row>
    <row r="27" spans="1:12" ht="14.45">
      <c r="A27" s="3">
        <v>8927</v>
      </c>
      <c r="B27" s="3">
        <v>800451.94</v>
      </c>
      <c r="D27" t="s">
        <v>166</v>
      </c>
    </row>
    <row r="28" spans="1:12" ht="15" thickBot="1">
      <c r="A28" s="3">
        <v>9315</v>
      </c>
      <c r="B28" s="3">
        <v>783672.82</v>
      </c>
    </row>
    <row r="29" spans="1:12" ht="14.45">
      <c r="A29" s="3">
        <v>7223</v>
      </c>
      <c r="B29" s="3">
        <v>701641.97</v>
      </c>
      <c r="D29" s="8" t="s">
        <v>167</v>
      </c>
      <c r="E29" s="8" t="s">
        <v>168</v>
      </c>
      <c r="F29" s="8" t="s">
        <v>169</v>
      </c>
    </row>
    <row r="30" spans="1:12" ht="14.45">
      <c r="A30" s="3">
        <v>3988</v>
      </c>
      <c r="B30" s="3">
        <v>511844.41</v>
      </c>
      <c r="D30">
        <v>1</v>
      </c>
      <c r="E30">
        <v>742609.59689901455</v>
      </c>
      <c r="F30">
        <v>-83776.976899014553</v>
      </c>
    </row>
    <row r="31" spans="1:12" ht="14.45">
      <c r="A31" s="3">
        <v>2390</v>
      </c>
      <c r="B31" s="3">
        <v>537383.79</v>
      </c>
      <c r="D31">
        <v>2</v>
      </c>
      <c r="E31">
        <v>749210.03264745302</v>
      </c>
      <c r="F31">
        <v>-114774.03264745302</v>
      </c>
    </row>
    <row r="32" spans="1:12" ht="14.45">
      <c r="A32" s="3">
        <v>2471</v>
      </c>
      <c r="B32" s="3">
        <v>500173.02</v>
      </c>
      <c r="D32">
        <v>3</v>
      </c>
      <c r="E32">
        <v>771544.480098926</v>
      </c>
      <c r="F32">
        <v>-92822.420098925941</v>
      </c>
    </row>
    <row r="33" spans="1:6" ht="14.45">
      <c r="A33" s="3">
        <v>971</v>
      </c>
      <c r="B33" s="3">
        <v>427917.38</v>
      </c>
      <c r="D33">
        <v>4</v>
      </c>
      <c r="E33">
        <v>782890.09398002562</v>
      </c>
      <c r="F33">
        <v>-123969.79398002557</v>
      </c>
    </row>
    <row r="34" spans="1:6" ht="14.45">
      <c r="A34" s="3">
        <v>9429</v>
      </c>
      <c r="B34" s="3">
        <v>641865.03</v>
      </c>
      <c r="D34">
        <v>5</v>
      </c>
      <c r="E34">
        <v>786957.38952230662</v>
      </c>
      <c r="F34">
        <v>-45615.949522306677</v>
      </c>
    </row>
    <row r="35" spans="1:6" ht="14.45">
      <c r="A35" s="3">
        <v>11695</v>
      </c>
      <c r="B35" s="3">
        <v>799477.76000000001</v>
      </c>
      <c r="D35">
        <v>6</v>
      </c>
      <c r="E35">
        <v>795769.86319724878</v>
      </c>
      <c r="F35">
        <v>-33934.523197248811</v>
      </c>
    </row>
    <row r="36" spans="1:6" ht="14.45">
      <c r="A36" s="3">
        <v>9449</v>
      </c>
      <c r="B36" s="3">
        <v>798952.17</v>
      </c>
      <c r="D36">
        <v>7</v>
      </c>
      <c r="E36">
        <v>825168.56080110453</v>
      </c>
      <c r="F36">
        <v>-18553.020801104489</v>
      </c>
    </row>
    <row r="37" spans="1:6" ht="14.45">
      <c r="A37" s="3">
        <v>10453</v>
      </c>
      <c r="B37" s="3">
        <v>800979.78</v>
      </c>
      <c r="D37">
        <v>8</v>
      </c>
      <c r="E37">
        <v>752064.27513326425</v>
      </c>
      <c r="F37">
        <v>98099.984866735758</v>
      </c>
    </row>
    <row r="38" spans="1:6" ht="14.45">
      <c r="A38" s="3">
        <v>8838</v>
      </c>
      <c r="B38" s="3">
        <v>820593.93</v>
      </c>
      <c r="D38">
        <v>9</v>
      </c>
      <c r="E38">
        <v>838119.68608047301</v>
      </c>
      <c r="F38">
        <v>92462.013919526944</v>
      </c>
    </row>
    <row r="39" spans="1:6" ht="14.45">
      <c r="A39" s="3">
        <v>8156</v>
      </c>
      <c r="B39" s="3">
        <v>718330.53</v>
      </c>
      <c r="D39">
        <v>10</v>
      </c>
      <c r="E39">
        <v>783889.07885005954</v>
      </c>
      <c r="F39">
        <v>-4878.1388500595931</v>
      </c>
    </row>
    <row r="40" spans="1:6" ht="14.45">
      <c r="A40" s="3">
        <v>7562</v>
      </c>
      <c r="B40" s="3">
        <v>736633.4</v>
      </c>
      <c r="D40">
        <v>11</v>
      </c>
      <c r="E40">
        <v>773649.48393221176</v>
      </c>
      <c r="F40">
        <v>-50588.723932211753</v>
      </c>
    </row>
    <row r="41" spans="1:6" ht="14.45">
      <c r="A41" s="3">
        <v>9598</v>
      </c>
      <c r="B41" s="3">
        <v>828623.85</v>
      </c>
      <c r="D41">
        <v>12</v>
      </c>
      <c r="E41">
        <v>847074.87187970581</v>
      </c>
      <c r="F41">
        <v>63717.068120294134</v>
      </c>
    </row>
    <row r="42" spans="1:6" ht="14.45">
      <c r="A42" s="3">
        <v>3660</v>
      </c>
      <c r="B42" s="3">
        <v>592195.85</v>
      </c>
      <c r="D42">
        <v>13</v>
      </c>
      <c r="E42">
        <v>902197.42988693528</v>
      </c>
      <c r="F42">
        <v>19971.170113064698</v>
      </c>
    </row>
    <row r="43" spans="1:6" ht="14.45">
      <c r="A43" s="3">
        <v>3227</v>
      </c>
      <c r="B43" s="3">
        <v>532644.46</v>
      </c>
      <c r="D43">
        <v>14</v>
      </c>
      <c r="E43">
        <v>805117.50733828056</v>
      </c>
      <c r="F43">
        <v>-78511.227338280529</v>
      </c>
    </row>
    <row r="44" spans="1:6" ht="14.45">
      <c r="A44" s="3">
        <v>3360</v>
      </c>
      <c r="B44" s="3">
        <v>657429.18000000005</v>
      </c>
      <c r="D44">
        <v>15</v>
      </c>
      <c r="E44">
        <v>763766.66932509025</v>
      </c>
      <c r="F44">
        <v>-17265.579325090279</v>
      </c>
    </row>
    <row r="45" spans="1:6" ht="14.45">
      <c r="A45" s="3">
        <v>3642</v>
      </c>
      <c r="B45" s="3">
        <v>605178</v>
      </c>
      <c r="D45">
        <v>16</v>
      </c>
      <c r="E45">
        <v>836728.24286863999</v>
      </c>
      <c r="F45">
        <v>-2711.2228686399758</v>
      </c>
    </row>
    <row r="46" spans="1:6" ht="14.45">
      <c r="A46" s="3">
        <v>5145</v>
      </c>
      <c r="B46" s="3">
        <v>595467.6</v>
      </c>
      <c r="D46">
        <v>17</v>
      </c>
      <c r="E46">
        <v>698190.44821357715</v>
      </c>
      <c r="F46">
        <v>-32037.928213577135</v>
      </c>
    </row>
    <row r="47" spans="1:6" ht="14.45">
      <c r="A47" s="3">
        <v>4460</v>
      </c>
      <c r="B47" s="3">
        <v>599603.4</v>
      </c>
      <c r="D47">
        <v>18</v>
      </c>
      <c r="E47">
        <v>598506.02939661965</v>
      </c>
      <c r="F47">
        <v>-25350.839396619704</v>
      </c>
    </row>
    <row r="48" spans="1:6" ht="14.45">
      <c r="A48" s="3">
        <v>3804</v>
      </c>
      <c r="B48" s="3">
        <v>614800.09</v>
      </c>
      <c r="D48">
        <v>19</v>
      </c>
      <c r="E48">
        <v>643995.51901423628</v>
      </c>
      <c r="F48">
        <v>22577.680985763669</v>
      </c>
    </row>
    <row r="49" spans="1:6" ht="14.45">
      <c r="A49" s="3">
        <v>4074</v>
      </c>
      <c r="B49" s="3">
        <v>585365.73</v>
      </c>
      <c r="D49">
        <v>20</v>
      </c>
      <c r="E49">
        <v>619984.20410234923</v>
      </c>
      <c r="F49">
        <v>-28364.254102349281</v>
      </c>
    </row>
    <row r="50" spans="1:6" ht="14.45">
      <c r="A50" s="3">
        <v>5104</v>
      </c>
      <c r="B50" s="3">
        <v>622811.74</v>
      </c>
      <c r="D50">
        <v>21</v>
      </c>
      <c r="E50">
        <v>547093.98662094481</v>
      </c>
      <c r="F50">
        <v>-131372.1666209448</v>
      </c>
    </row>
    <row r="51" spans="1:6" ht="14.45">
      <c r="A51" s="3">
        <v>5559</v>
      </c>
      <c r="B51" s="3">
        <v>603297.56999999995</v>
      </c>
      <c r="D51">
        <v>22</v>
      </c>
      <c r="E51">
        <v>522083.68683902384</v>
      </c>
      <c r="F51">
        <v>-30178.556839023833</v>
      </c>
    </row>
    <row r="52" spans="1:6" ht="14.45">
      <c r="A52" s="3">
        <v>5150</v>
      </c>
      <c r="B52" s="3">
        <v>625672.86</v>
      </c>
      <c r="D52">
        <v>23</v>
      </c>
      <c r="E52">
        <v>566431.47946231591</v>
      </c>
      <c r="F52">
        <v>-10502.079462315887</v>
      </c>
    </row>
    <row r="53" spans="1:6" ht="14.45">
      <c r="A53" s="3">
        <v>7189</v>
      </c>
      <c r="B53" s="3">
        <v>773815.14</v>
      </c>
      <c r="D53">
        <v>24</v>
      </c>
      <c r="E53">
        <v>539637.27812676295</v>
      </c>
      <c r="F53">
        <v>26173.711873237044</v>
      </c>
    </row>
    <row r="54" spans="1:6" ht="14.45">
      <c r="A54" s="3">
        <v>3279</v>
      </c>
      <c r="B54" s="3">
        <v>463534.25</v>
      </c>
      <c r="D54">
        <v>25</v>
      </c>
      <c r="E54">
        <v>810968.70443419367</v>
      </c>
      <c r="F54">
        <v>802.43556580634322</v>
      </c>
    </row>
    <row r="55" spans="1:6" ht="14.45">
      <c r="A55" s="3">
        <v>5887</v>
      </c>
      <c r="B55" s="3">
        <v>746677.75</v>
      </c>
      <c r="D55">
        <v>26</v>
      </c>
      <c r="E55">
        <v>764908.36631941481</v>
      </c>
      <c r="F55">
        <v>35543.573680585134</v>
      </c>
    </row>
    <row r="56" spans="1:6" ht="14.45">
      <c r="A56" s="3">
        <v>5516</v>
      </c>
      <c r="B56" s="3">
        <v>720852.5</v>
      </c>
      <c r="D56">
        <v>27</v>
      </c>
      <c r="E56">
        <v>778751.44237559929</v>
      </c>
      <c r="F56">
        <v>4921.3776244006585</v>
      </c>
    </row>
    <row r="57" spans="1:6" ht="14.45">
      <c r="A57" s="3">
        <v>2863</v>
      </c>
      <c r="B57" s="3">
        <v>487464.91</v>
      </c>
      <c r="D57">
        <v>28</v>
      </c>
      <c r="E57">
        <v>704113.00137163547</v>
      </c>
      <c r="F57">
        <v>-2471.0313716355013</v>
      </c>
    </row>
    <row r="58" spans="1:6" ht="14.45">
      <c r="A58" s="3">
        <v>2378</v>
      </c>
      <c r="B58" s="3">
        <v>518049.26</v>
      </c>
      <c r="D58">
        <v>29</v>
      </c>
      <c r="E58">
        <v>588694.57085164357</v>
      </c>
      <c r="F58">
        <v>-76850.160851643595</v>
      </c>
    </row>
    <row r="59" spans="1:6" ht="14.45">
      <c r="A59" s="3">
        <v>2515</v>
      </c>
      <c r="B59" s="3">
        <v>500298.48</v>
      </c>
      <c r="D59">
        <v>30</v>
      </c>
      <c r="E59">
        <v>531681.07719756418</v>
      </c>
      <c r="F59">
        <v>5702.7128024358535</v>
      </c>
    </row>
    <row r="60" spans="1:6" ht="14.45">
      <c r="A60" s="3">
        <v>4022</v>
      </c>
      <c r="B60" s="3">
        <v>617291.15</v>
      </c>
      <c r="D60">
        <v>31</v>
      </c>
      <c r="E60">
        <v>534570.99771444802</v>
      </c>
      <c r="F60">
        <v>-34397.977714448003</v>
      </c>
    </row>
    <row r="61" spans="1:6" ht="14.45">
      <c r="A61" s="3">
        <v>4377</v>
      </c>
      <c r="B61" s="3">
        <v>553756.43000000005</v>
      </c>
      <c r="D61">
        <v>32</v>
      </c>
      <c r="E61">
        <v>481053.9511054873</v>
      </c>
      <c r="F61">
        <v>-53136.571105487295</v>
      </c>
    </row>
    <row r="62" spans="1:6" ht="14.45">
      <c r="A62" s="3">
        <v>5306</v>
      </c>
      <c r="B62" s="3">
        <v>749559.71</v>
      </c>
      <c r="D62">
        <v>33</v>
      </c>
      <c r="E62">
        <v>782818.73791788029</v>
      </c>
      <c r="F62">
        <v>-140953.70791788027</v>
      </c>
    </row>
    <row r="63" spans="1:6" ht="14.45">
      <c r="A63" s="3">
        <v>3928</v>
      </c>
      <c r="B63" s="3">
        <v>615966.48</v>
      </c>
      <c r="D63">
        <v>34</v>
      </c>
      <c r="E63">
        <v>863665.1563284836</v>
      </c>
      <c r="F63">
        <v>-64187.396328483592</v>
      </c>
    </row>
    <row r="64" spans="1:6" ht="14.45">
      <c r="A64" s="3">
        <v>3845</v>
      </c>
      <c r="B64" s="3">
        <v>572011.19999999995</v>
      </c>
      <c r="D64">
        <v>35</v>
      </c>
      <c r="E64">
        <v>783532.29853933305</v>
      </c>
      <c r="F64">
        <v>15419.871460666996</v>
      </c>
    </row>
    <row r="65" spans="1:6" ht="14.45">
      <c r="A65" s="3">
        <v>6620</v>
      </c>
      <c r="B65" s="3">
        <v>761860.19</v>
      </c>
      <c r="D65">
        <v>36</v>
      </c>
      <c r="E65">
        <v>819353.04173626413</v>
      </c>
      <c r="F65">
        <v>-18373.261736264103</v>
      </c>
    </row>
    <row r="66" spans="1:6" ht="14.45">
      <c r="A66" s="3">
        <v>9175</v>
      </c>
      <c r="B66" s="3">
        <v>784502.68</v>
      </c>
      <c r="D66">
        <v>37</v>
      </c>
      <c r="E66">
        <v>761733.0215539498</v>
      </c>
      <c r="F66">
        <v>58860.908446050249</v>
      </c>
    </row>
    <row r="67" spans="1:6" ht="14.45">
      <c r="A67" s="3">
        <v>7940</v>
      </c>
      <c r="B67" s="3">
        <v>717141.55</v>
      </c>
      <c r="D67">
        <v>38</v>
      </c>
      <c r="E67">
        <v>737400.6043624091</v>
      </c>
      <c r="F67">
        <v>-19070.074362409068</v>
      </c>
    </row>
    <row r="68" spans="1:6" ht="14.45">
      <c r="A68" s="3">
        <v>9628</v>
      </c>
      <c r="B68" s="3">
        <v>685379.08</v>
      </c>
      <c r="D68">
        <v>39</v>
      </c>
      <c r="E68">
        <v>716207.85390526056</v>
      </c>
      <c r="F68">
        <v>20425.54609473946</v>
      </c>
    </row>
    <row r="69" spans="1:6" ht="14.45">
      <c r="A69" s="3">
        <v>8296</v>
      </c>
      <c r="B69" s="3">
        <v>740496.65</v>
      </c>
      <c r="D69">
        <v>40</v>
      </c>
      <c r="E69">
        <v>788848.32516915654</v>
      </c>
      <c r="F69">
        <v>39775.524830843438</v>
      </c>
    </row>
    <row r="70" spans="1:6" ht="14.45">
      <c r="A70" s="3">
        <v>3595</v>
      </c>
      <c r="B70" s="3">
        <v>661927.14</v>
      </c>
      <c r="D70">
        <v>41</v>
      </c>
      <c r="E70">
        <v>576992.17665981757</v>
      </c>
      <c r="F70">
        <v>15203.673340182402</v>
      </c>
    </row>
    <row r="71" spans="1:6" ht="14.45">
      <c r="A71" s="3">
        <v>2834</v>
      </c>
      <c r="B71" s="3">
        <v>479050.5</v>
      </c>
      <c r="D71">
        <v>42</v>
      </c>
      <c r="E71">
        <v>561543.58920536423</v>
      </c>
      <c r="F71">
        <v>-28899.129205364268</v>
      </c>
    </row>
    <row r="72" spans="1:6" ht="14.45">
      <c r="A72" s="3">
        <v>3193</v>
      </c>
      <c r="B72" s="3">
        <v>605023.87</v>
      </c>
      <c r="D72">
        <v>43</v>
      </c>
      <c r="E72">
        <v>566288.76733802538</v>
      </c>
      <c r="F72">
        <v>91140.412661974668</v>
      </c>
    </row>
    <row r="73" spans="1:6" ht="14.45">
      <c r="A73" s="3">
        <v>5485</v>
      </c>
      <c r="B73" s="3">
        <v>674774.09</v>
      </c>
      <c r="D73">
        <v>44</v>
      </c>
      <c r="E73">
        <v>576349.97210051003</v>
      </c>
      <c r="F73">
        <v>28828.027899489971</v>
      </c>
    </row>
    <row r="74" spans="1:6" ht="14.45">
      <c r="A74" s="3">
        <v>5918</v>
      </c>
      <c r="B74" s="3">
        <v>616069.41</v>
      </c>
      <c r="D74">
        <v>45</v>
      </c>
      <c r="E74">
        <v>629974.05280268856</v>
      </c>
      <c r="F74">
        <v>-34506.452802688582</v>
      </c>
    </row>
    <row r="75" spans="1:6" ht="14.45">
      <c r="A75" s="3">
        <v>6821</v>
      </c>
      <c r="B75" s="3">
        <v>630829.93999999994</v>
      </c>
      <c r="D75">
        <v>46</v>
      </c>
      <c r="E75">
        <v>605534.60151792993</v>
      </c>
      <c r="F75">
        <v>-5931.2015179299051</v>
      </c>
    </row>
    <row r="76" spans="1:6" ht="14.45">
      <c r="A76" s="3">
        <v>6806</v>
      </c>
      <c r="B76" s="3">
        <v>788087.68</v>
      </c>
      <c r="D76">
        <v>47</v>
      </c>
      <c r="E76">
        <v>582129.81313427771</v>
      </c>
      <c r="F76">
        <v>32670.276865722262</v>
      </c>
    </row>
    <row r="77" spans="1:6" ht="14.45">
      <c r="A77" s="3">
        <v>8252</v>
      </c>
      <c r="B77" s="3">
        <v>680840.36</v>
      </c>
      <c r="D77">
        <v>48</v>
      </c>
      <c r="E77">
        <v>591762.88152389065</v>
      </c>
      <c r="F77">
        <v>-6397.1515238906723</v>
      </c>
    </row>
    <row r="78" spans="1:6" ht="14.45">
      <c r="A78" s="3">
        <v>6662</v>
      </c>
      <c r="B78" s="3">
        <v>643657.47</v>
      </c>
      <c r="D78">
        <v>49</v>
      </c>
      <c r="E78">
        <v>628511.25352871034</v>
      </c>
      <c r="F78">
        <v>-5699.5135287103476</v>
      </c>
    </row>
    <row r="79" spans="1:6" ht="14.45">
      <c r="A79" s="3">
        <v>5962</v>
      </c>
      <c r="B79" s="3">
        <v>691112.6</v>
      </c>
      <c r="D79">
        <v>50</v>
      </c>
      <c r="E79">
        <v>644744.75766676175</v>
      </c>
      <c r="F79">
        <v>-41447.187666761805</v>
      </c>
    </row>
    <row r="80" spans="1:6" ht="14.45">
      <c r="A80" s="3">
        <v>7470</v>
      </c>
      <c r="B80" s="3">
        <v>776922.17</v>
      </c>
      <c r="D80">
        <v>51</v>
      </c>
      <c r="E80">
        <v>630152.4429580518</v>
      </c>
      <c r="F80">
        <v>-4479.5829580518184</v>
      </c>
    </row>
    <row r="81" spans="1:6" ht="14.45">
      <c r="A81" s="3">
        <v>5974</v>
      </c>
      <c r="B81" s="3">
        <v>636561.34</v>
      </c>
      <c r="D81">
        <v>52</v>
      </c>
      <c r="E81">
        <v>702899.9483151657</v>
      </c>
      <c r="F81">
        <v>70915.19168483431</v>
      </c>
    </row>
    <row r="82" spans="1:6" ht="14.45">
      <c r="A82" s="3">
        <v>5410</v>
      </c>
      <c r="B82" s="3">
        <v>621369.57999999996</v>
      </c>
      <c r="D82">
        <v>53</v>
      </c>
      <c r="E82">
        <v>563398.84682114155</v>
      </c>
      <c r="F82">
        <v>-99864.596821141546</v>
      </c>
    </row>
    <row r="83" spans="1:6" ht="14.45">
      <c r="A83" s="3">
        <v>4451</v>
      </c>
      <c r="B83" s="3">
        <v>682208.01</v>
      </c>
      <c r="D83">
        <v>54</v>
      </c>
      <c r="E83">
        <v>656447.15185858775</v>
      </c>
      <c r="F83">
        <v>90230.598141412251</v>
      </c>
    </row>
    <row r="84" spans="1:6" ht="14.45">
      <c r="A84" s="3">
        <v>4644</v>
      </c>
      <c r="B84" s="3">
        <v>727241.86</v>
      </c>
      <c r="D84">
        <v>55</v>
      </c>
      <c r="E84">
        <v>643210.60233063821</v>
      </c>
      <c r="F84">
        <v>77641.897669361788</v>
      </c>
    </row>
    <row r="85" spans="1:6" ht="14.45">
      <c r="A85" s="3">
        <v>3559</v>
      </c>
      <c r="B85" s="3">
        <v>569100.78</v>
      </c>
      <c r="D85">
        <v>56</v>
      </c>
      <c r="E85">
        <v>548556.78589492303</v>
      </c>
      <c r="F85">
        <v>-61091.875894923054</v>
      </c>
    </row>
    <row r="86" spans="1:6" ht="14.45">
      <c r="A86" s="3">
        <v>3091</v>
      </c>
      <c r="B86" s="3">
        <v>574436.29</v>
      </c>
      <c r="D86">
        <v>57</v>
      </c>
      <c r="E86">
        <v>531252.94082469249</v>
      </c>
      <c r="F86">
        <v>-13203.680824692477</v>
      </c>
    </row>
    <row r="87" spans="1:6" ht="14.45">
      <c r="A87" s="3">
        <v>4004</v>
      </c>
      <c r="B87" s="3">
        <v>611766.72</v>
      </c>
      <c r="D87">
        <v>58</v>
      </c>
      <c r="E87">
        <v>536140.83108164417</v>
      </c>
      <c r="F87">
        <v>-35842.351081644185</v>
      </c>
    </row>
    <row r="88" spans="1:6" ht="14.45">
      <c r="A88" s="3">
        <v>3788</v>
      </c>
      <c r="B88" s="3">
        <v>614596.31999999995</v>
      </c>
      <c r="D88">
        <v>59</v>
      </c>
      <c r="E88">
        <v>589907.62390811334</v>
      </c>
      <c r="F88">
        <v>27383.526091886684</v>
      </c>
    </row>
    <row r="89" spans="1:6" ht="14.45">
      <c r="A89" s="3">
        <v>1260</v>
      </c>
      <c r="B89" s="3">
        <v>450711.92</v>
      </c>
      <c r="D89">
        <v>60</v>
      </c>
      <c r="E89">
        <v>602573.32493890077</v>
      </c>
      <c r="F89">
        <v>-48816.894938900718</v>
      </c>
    </row>
    <row r="90" spans="1:6" ht="14.45">
      <c r="A90" s="3">
        <v>7024</v>
      </c>
      <c r="B90" s="3">
        <v>711213.46</v>
      </c>
      <c r="D90">
        <v>61</v>
      </c>
      <c r="E90">
        <v>635718.21580538375</v>
      </c>
      <c r="F90">
        <v>113841.49419461621</v>
      </c>
    </row>
    <row r="91" spans="1:6" ht="14.45">
      <c r="A91" s="3">
        <v>5400</v>
      </c>
      <c r="B91" s="3">
        <v>627171.9</v>
      </c>
      <c r="D91">
        <v>62</v>
      </c>
      <c r="E91">
        <v>586553.8889872852</v>
      </c>
      <c r="F91">
        <v>29412.59101271478</v>
      </c>
    </row>
    <row r="92" spans="1:6" ht="14.45">
      <c r="A92" s="3">
        <v>5988</v>
      </c>
      <c r="B92" s="3">
        <v>739852.58</v>
      </c>
      <c r="D92">
        <v>63</v>
      </c>
      <c r="E92">
        <v>583592.61240825604</v>
      </c>
      <c r="F92">
        <v>-11581.412408256088</v>
      </c>
    </row>
    <row r="93" spans="1:6" ht="14.45">
      <c r="A93" s="3">
        <v>3701</v>
      </c>
      <c r="B93" s="3">
        <v>586307.22</v>
      </c>
      <c r="D93">
        <v>64</v>
      </c>
      <c r="E93">
        <v>682599.14863483328</v>
      </c>
      <c r="F93">
        <v>79261.04136516666</v>
      </c>
    </row>
    <row r="94" spans="1:6" ht="14.45">
      <c r="A94" s="3">
        <v>4509</v>
      </c>
      <c r="B94" s="3">
        <v>585937.48</v>
      </c>
      <c r="D94">
        <v>65</v>
      </c>
      <c r="E94">
        <v>773756.51802542969</v>
      </c>
      <c r="F94">
        <v>10746.161974570365</v>
      </c>
    </row>
    <row r="95" spans="1:6" ht="14.45">
      <c r="A95" s="3">
        <v>6477</v>
      </c>
      <c r="B95" s="3">
        <v>753473.55</v>
      </c>
      <c r="D95">
        <v>66</v>
      </c>
      <c r="E95">
        <v>729694.14965071867</v>
      </c>
      <c r="F95">
        <v>-12552.599650718621</v>
      </c>
    </row>
    <row r="96" spans="1:6" ht="14.45">
      <c r="A96" s="3">
        <v>7970</v>
      </c>
      <c r="B96" s="3">
        <v>838250.32</v>
      </c>
      <c r="D96">
        <v>67</v>
      </c>
      <c r="E96">
        <v>789918.66610133578</v>
      </c>
      <c r="F96">
        <v>-104539.58610133582</v>
      </c>
    </row>
    <row r="97" spans="1:6" ht="14.45">
      <c r="A97" s="3">
        <v>6057</v>
      </c>
      <c r="B97" s="3">
        <v>607898.12</v>
      </c>
      <c r="D97">
        <v>68</v>
      </c>
      <c r="E97">
        <v>742395.5287125787</v>
      </c>
      <c r="F97">
        <v>-1898.8787125786766</v>
      </c>
    </row>
    <row r="98" spans="1:6" ht="14.45">
      <c r="A98" s="3">
        <v>6394</v>
      </c>
      <c r="B98" s="3">
        <v>691113.62</v>
      </c>
      <c r="D98">
        <v>69</v>
      </c>
      <c r="E98">
        <v>574673.10464009584</v>
      </c>
      <c r="F98">
        <v>87254.03535990417</v>
      </c>
    </row>
    <row r="99" spans="1:6" ht="14.45">
      <c r="A99" s="3">
        <v>5150</v>
      </c>
      <c r="B99" s="3">
        <v>735509.4</v>
      </c>
      <c r="D99">
        <v>70</v>
      </c>
      <c r="E99">
        <v>547522.12299381651</v>
      </c>
      <c r="F99">
        <v>-68471.622993816505</v>
      </c>
    </row>
    <row r="100" spans="1:6" ht="14.45">
      <c r="A100" s="3">
        <v>4712</v>
      </c>
      <c r="B100" s="3">
        <v>605775.32999999996</v>
      </c>
      <c r="D100">
        <v>71</v>
      </c>
      <c r="E100">
        <v>560330.53614889446</v>
      </c>
      <c r="F100">
        <v>44693.333851105534</v>
      </c>
    </row>
    <row r="101" spans="1:6" ht="14.45">
      <c r="A101" s="3">
        <v>5281</v>
      </c>
      <c r="B101" s="3">
        <v>675177.68</v>
      </c>
      <c r="D101">
        <v>72</v>
      </c>
      <c r="E101">
        <v>642104.58336738637</v>
      </c>
      <c r="F101">
        <v>32669.5066326136</v>
      </c>
    </row>
    <row r="102" spans="1:6" ht="14.45">
      <c r="A102" s="3">
        <v>3642</v>
      </c>
      <c r="B102" s="3">
        <v>635181.35</v>
      </c>
      <c r="D102">
        <v>73</v>
      </c>
      <c r="E102">
        <v>657553.17082183971</v>
      </c>
      <c r="F102">
        <v>-41483.760821839678</v>
      </c>
    </row>
    <row r="103" spans="1:6" ht="14.45">
      <c r="A103" s="3">
        <v>4373</v>
      </c>
      <c r="B103" s="3">
        <v>586626.93999999994</v>
      </c>
      <c r="D103">
        <v>74</v>
      </c>
      <c r="E103">
        <v>689770.43288043397</v>
      </c>
      <c r="F103">
        <v>-58940.492880434031</v>
      </c>
    </row>
    <row r="104" spans="1:6" ht="14.45">
      <c r="A104" s="3">
        <v>6832</v>
      </c>
      <c r="B104" s="3">
        <v>740102.64</v>
      </c>
      <c r="D104">
        <v>75</v>
      </c>
      <c r="E104">
        <v>689235.26241434435</v>
      </c>
      <c r="F104">
        <v>98852.417585655698</v>
      </c>
    </row>
    <row r="105" spans="1:6" ht="14.45">
      <c r="A105" s="3">
        <v>2414</v>
      </c>
      <c r="B105" s="3">
        <v>625514.04</v>
      </c>
      <c r="D105">
        <v>76</v>
      </c>
      <c r="E105">
        <v>740825.69534538244</v>
      </c>
      <c r="F105">
        <v>-59985.335345382453</v>
      </c>
    </row>
    <row r="106" spans="1:6" ht="14.45">
      <c r="A106" s="3">
        <v>7374</v>
      </c>
      <c r="B106" s="3">
        <v>727227.2</v>
      </c>
      <c r="D106">
        <v>77</v>
      </c>
      <c r="E106">
        <v>684097.62593988422</v>
      </c>
      <c r="F106">
        <v>-40440.155939884251</v>
      </c>
    </row>
    <row r="107" spans="1:6" ht="14.45">
      <c r="A107" s="3">
        <v>8739</v>
      </c>
      <c r="B107" s="3">
        <v>783797.89</v>
      </c>
      <c r="D107">
        <v>78</v>
      </c>
      <c r="E107">
        <v>659123.00418903586</v>
      </c>
      <c r="F107">
        <v>31989.595810964121</v>
      </c>
    </row>
    <row r="108" spans="1:6" ht="14.45">
      <c r="A108" s="3">
        <v>6992</v>
      </c>
      <c r="B108" s="3">
        <v>795153.84</v>
      </c>
      <c r="D108">
        <v>79</v>
      </c>
      <c r="E108">
        <v>712925.47504657763</v>
      </c>
      <c r="F108">
        <v>63996.694953422411</v>
      </c>
    </row>
    <row r="109" spans="1:6" ht="14.45">
      <c r="A109" s="3">
        <v>7107</v>
      </c>
      <c r="B109" s="3">
        <v>665594.93999999994</v>
      </c>
      <c r="D109">
        <v>80</v>
      </c>
      <c r="E109">
        <v>659551.14056190755</v>
      </c>
      <c r="F109">
        <v>-22989.800561907585</v>
      </c>
    </row>
    <row r="110" spans="1:6" ht="14.45">
      <c r="A110" s="3">
        <v>6975</v>
      </c>
      <c r="B110" s="3">
        <v>709478.39</v>
      </c>
      <c r="D110">
        <v>81</v>
      </c>
      <c r="E110">
        <v>639428.73103693826</v>
      </c>
      <c r="F110">
        <v>-18059.151036938303</v>
      </c>
    </row>
    <row r="111" spans="1:6" ht="14.45">
      <c r="A111" s="3">
        <v>5493</v>
      </c>
      <c r="B111" s="3">
        <v>664162.49</v>
      </c>
      <c r="D111">
        <v>82</v>
      </c>
      <c r="E111">
        <v>605213.49923827616</v>
      </c>
      <c r="F111">
        <v>76994.510761723854</v>
      </c>
    </row>
    <row r="112" spans="1:6" ht="14.45">
      <c r="A112" s="3">
        <v>5686</v>
      </c>
      <c r="B112" s="3">
        <v>633494.21</v>
      </c>
      <c r="D112">
        <v>83</v>
      </c>
      <c r="E112">
        <v>612099.35923529579</v>
      </c>
      <c r="F112">
        <v>115142.50076470419</v>
      </c>
    </row>
    <row r="113" spans="1:6" ht="14.45">
      <c r="A113" s="3">
        <v>4063</v>
      </c>
      <c r="B113" s="3">
        <v>713611.16</v>
      </c>
      <c r="D113">
        <v>84</v>
      </c>
      <c r="E113">
        <v>573388.69552148087</v>
      </c>
      <c r="F113">
        <v>-4287.9155214808416</v>
      </c>
    </row>
    <row r="114" spans="1:6" ht="14.45">
      <c r="A114" s="3">
        <v>8966</v>
      </c>
      <c r="B114" s="3">
        <v>778397.97</v>
      </c>
      <c r="D114">
        <v>85</v>
      </c>
      <c r="E114">
        <v>556691.37697948515</v>
      </c>
      <c r="F114">
        <v>17744.913020514883</v>
      </c>
    </row>
    <row r="115" spans="1:6" ht="14.45">
      <c r="A115" s="3">
        <v>9489</v>
      </c>
      <c r="B115" s="3">
        <v>873380.02</v>
      </c>
      <c r="D115">
        <v>86</v>
      </c>
      <c r="E115">
        <v>589265.41934880579</v>
      </c>
      <c r="F115">
        <v>22501.300651194178</v>
      </c>
    </row>
    <row r="116" spans="1:6" ht="14.45">
      <c r="A116" s="3">
        <v>9225</v>
      </c>
      <c r="B116" s="3">
        <v>697287.9</v>
      </c>
      <c r="D116">
        <v>87</v>
      </c>
      <c r="E116">
        <v>581558.96463711548</v>
      </c>
      <c r="F116">
        <v>33037.355362884467</v>
      </c>
    </row>
    <row r="117" spans="1:6" ht="14.45">
      <c r="A117" s="3">
        <v>9249</v>
      </c>
      <c r="B117" s="3">
        <v>718074.79</v>
      </c>
      <c r="D117">
        <v>88</v>
      </c>
      <c r="E117">
        <v>491364.9020854804</v>
      </c>
      <c r="F117">
        <v>-40652.982085480413</v>
      </c>
    </row>
    <row r="118" spans="1:6" ht="14.45">
      <c r="A118" s="3">
        <v>7821</v>
      </c>
      <c r="B118" s="3">
        <v>714942.43</v>
      </c>
      <c r="D118">
        <v>89</v>
      </c>
      <c r="E118">
        <v>697013.07318817999</v>
      </c>
      <c r="F118">
        <v>14200.386811819975</v>
      </c>
    </row>
    <row r="119" spans="1:6" ht="14.45">
      <c r="A119" s="3">
        <v>8434</v>
      </c>
      <c r="B119" s="3">
        <v>820519.04</v>
      </c>
      <c r="D119">
        <v>90</v>
      </c>
      <c r="E119">
        <v>639071.95072621189</v>
      </c>
      <c r="F119">
        <v>-11900.050726211863</v>
      </c>
    </row>
    <row r="120" spans="1:6" ht="14.45">
      <c r="A120" s="3">
        <v>8512</v>
      </c>
      <c r="B120" s="3">
        <v>684217.32</v>
      </c>
      <c r="D120">
        <v>91</v>
      </c>
      <c r="E120">
        <v>660050.63299692445</v>
      </c>
      <c r="F120">
        <v>79801.947003075504</v>
      </c>
    </row>
    <row r="121" spans="1:6" ht="14.45">
      <c r="A121" s="3">
        <v>7816</v>
      </c>
      <c r="B121" s="3">
        <v>735480.19</v>
      </c>
      <c r="D121">
        <v>92</v>
      </c>
      <c r="E121">
        <v>578454.97593379579</v>
      </c>
      <c r="F121">
        <v>7852.2440662041772</v>
      </c>
    </row>
    <row r="122" spans="1:6" ht="14.45">
      <c r="A122" s="3">
        <v>3853</v>
      </c>
      <c r="B122" s="3">
        <v>509484.81</v>
      </c>
      <c r="D122">
        <v>93</v>
      </c>
      <c r="E122">
        <v>607282.8250404892</v>
      </c>
      <c r="F122">
        <v>-21345.345040489221</v>
      </c>
    </row>
    <row r="123" spans="1:6" ht="14.45">
      <c r="A123" s="3">
        <v>3694</v>
      </c>
      <c r="B123" s="3">
        <v>654317.09</v>
      </c>
      <c r="D123">
        <v>94</v>
      </c>
      <c r="E123">
        <v>677497.19019144564</v>
      </c>
      <c r="F123">
        <v>75976.359808554407</v>
      </c>
    </row>
    <row r="124" spans="1:6" ht="14.45">
      <c r="A124" s="3">
        <v>4423</v>
      </c>
      <c r="B124" s="3">
        <v>557487.26</v>
      </c>
      <c r="D124">
        <v>95</v>
      </c>
      <c r="E124">
        <v>730764.49058289791</v>
      </c>
      <c r="F124">
        <v>107485.82941710204</v>
      </c>
    </row>
    <row r="125" spans="1:6" ht="14.45">
      <c r="A125" s="3">
        <v>1906</v>
      </c>
      <c r="B125" s="3">
        <v>441275.42</v>
      </c>
      <c r="D125">
        <v>96</v>
      </c>
      <c r="E125">
        <v>662512.41714093671</v>
      </c>
      <c r="F125">
        <v>-54614.297140936716</v>
      </c>
    </row>
    <row r="126" spans="1:6" ht="14.45">
      <c r="A126" s="3">
        <v>10396</v>
      </c>
      <c r="B126" s="3">
        <v>914544.17</v>
      </c>
      <c r="D126">
        <v>97</v>
      </c>
      <c r="E126">
        <v>674535.91361241648</v>
      </c>
      <c r="F126">
        <v>16577.706387583516</v>
      </c>
    </row>
    <row r="127" spans="1:6" ht="14.45">
      <c r="A127" s="3">
        <v>11076</v>
      </c>
      <c r="B127" s="3">
        <v>842439.67</v>
      </c>
      <c r="D127">
        <v>98</v>
      </c>
      <c r="E127">
        <v>630152.4429580518</v>
      </c>
      <c r="F127">
        <v>105356.95704194822</v>
      </c>
    </row>
    <row r="128" spans="1:6" ht="14.45">
      <c r="A128" s="3">
        <v>9574</v>
      </c>
      <c r="B128" s="3">
        <v>842157.92</v>
      </c>
      <c r="D128">
        <v>99</v>
      </c>
      <c r="E128">
        <v>614525.46534823533</v>
      </c>
      <c r="F128">
        <v>-8750.1353482353734</v>
      </c>
    </row>
    <row r="129" spans="1:6" ht="14.45">
      <c r="A129" s="3">
        <v>8221</v>
      </c>
      <c r="B129" s="3">
        <v>697155.3</v>
      </c>
      <c r="D129">
        <v>100</v>
      </c>
      <c r="E129">
        <v>634826.26502856775</v>
      </c>
      <c r="F129">
        <v>40351.414971432299</v>
      </c>
    </row>
    <row r="130" spans="1:6" ht="14.45">
      <c r="A130" s="3">
        <v>10618</v>
      </c>
      <c r="B130" s="3">
        <v>849018.3</v>
      </c>
      <c r="D130">
        <v>101</v>
      </c>
      <c r="E130">
        <v>576349.97210051003</v>
      </c>
      <c r="F130">
        <v>58831.377899489948</v>
      </c>
    </row>
    <row r="131" spans="1:6" ht="14.45">
      <c r="A131" s="3">
        <v>10596</v>
      </c>
      <c r="B131" s="3">
        <v>801830.35</v>
      </c>
      <c r="D131">
        <v>102</v>
      </c>
      <c r="E131">
        <v>602430.61281461013</v>
      </c>
      <c r="F131">
        <v>-15803.672814610181</v>
      </c>
    </row>
    <row r="132" spans="1:6" ht="14.45">
      <c r="A132" s="3">
        <v>9619</v>
      </c>
      <c r="B132" s="3">
        <v>725235.28</v>
      </c>
      <c r="D132">
        <v>103</v>
      </c>
      <c r="E132">
        <v>690162.89122223307</v>
      </c>
      <c r="F132">
        <v>49939.748777766945</v>
      </c>
    </row>
    <row r="133" spans="1:6" ht="14.45">
      <c r="A133" s="3">
        <v>10836</v>
      </c>
      <c r="B133" s="3">
        <v>811452.72</v>
      </c>
      <c r="D133">
        <v>104</v>
      </c>
      <c r="E133">
        <v>532537.34994330746</v>
      </c>
      <c r="F133">
        <v>92976.690056692576</v>
      </c>
    </row>
    <row r="134" spans="1:6" ht="14.45">
      <c r="A134" s="3">
        <v>3043</v>
      </c>
      <c r="B134" s="3">
        <v>527300.13</v>
      </c>
      <c r="D134">
        <v>105</v>
      </c>
      <c r="E134">
        <v>709500.38406360417</v>
      </c>
      <c r="F134">
        <v>17726.815936395782</v>
      </c>
    </row>
    <row r="135" spans="1:6" ht="14.45">
      <c r="A135" s="3">
        <v>1814</v>
      </c>
      <c r="B135" s="3">
        <v>400831.65</v>
      </c>
      <c r="D135">
        <v>106</v>
      </c>
      <c r="E135">
        <v>758200.89647775842</v>
      </c>
      <c r="F135">
        <v>25596.993522241595</v>
      </c>
    </row>
    <row r="136" spans="1:6" ht="14.45">
      <c r="A136" s="3">
        <v>3618</v>
      </c>
      <c r="B136" s="3">
        <v>593247.25</v>
      </c>
      <c r="D136">
        <v>107</v>
      </c>
      <c r="E136">
        <v>695871.37619385554</v>
      </c>
      <c r="F136">
        <v>99282.463806144428</v>
      </c>
    </row>
    <row r="137" spans="1:6" ht="14.45">
      <c r="A137" s="3">
        <v>1963</v>
      </c>
      <c r="B137" s="3">
        <v>529075.94999999995</v>
      </c>
      <c r="D137">
        <v>108</v>
      </c>
      <c r="E137">
        <v>699974.34976720915</v>
      </c>
      <c r="F137">
        <v>-34379.409767209203</v>
      </c>
    </row>
    <row r="138" spans="1:6" ht="14.45">
      <c r="A138" s="3">
        <v>7888</v>
      </c>
      <c r="B138" s="3">
        <v>633638.03</v>
      </c>
      <c r="D138">
        <v>109</v>
      </c>
      <c r="E138">
        <v>695264.8496656206</v>
      </c>
      <c r="F138">
        <v>14213.540334379417</v>
      </c>
    </row>
    <row r="139" spans="1:6" ht="14.45">
      <c r="A139" s="3">
        <v>6244</v>
      </c>
      <c r="B139" s="3">
        <v>743348.84</v>
      </c>
      <c r="D139">
        <v>110</v>
      </c>
      <c r="E139">
        <v>642390.00761596742</v>
      </c>
      <c r="F139">
        <v>21772.48238403257</v>
      </c>
    </row>
    <row r="140" spans="1:6" ht="14.45">
      <c r="A140" s="3">
        <v>6544</v>
      </c>
      <c r="B140" s="3">
        <v>758827.64</v>
      </c>
      <c r="D140">
        <v>111</v>
      </c>
      <c r="E140">
        <v>649275.86761298706</v>
      </c>
      <c r="F140">
        <v>-15781.657612987095</v>
      </c>
    </row>
    <row r="141" spans="1:6" ht="14.45">
      <c r="A141" s="3">
        <v>5465</v>
      </c>
      <c r="B141" s="3">
        <v>646559.71</v>
      </c>
      <c r="D141">
        <v>112</v>
      </c>
      <c r="E141">
        <v>591370.42318209168</v>
      </c>
      <c r="F141">
        <v>122240.73681790836</v>
      </c>
    </row>
    <row r="142" spans="1:6" ht="14.45">
      <c r="A142" s="3">
        <v>6427</v>
      </c>
      <c r="B142" s="3">
        <v>715890.53</v>
      </c>
      <c r="D142">
        <v>113</v>
      </c>
      <c r="E142">
        <v>766299.80953124771</v>
      </c>
      <c r="F142">
        <v>12098.160468752263</v>
      </c>
    </row>
    <row r="143" spans="1:6" ht="14.45">
      <c r="A143" s="3">
        <v>6704</v>
      </c>
      <c r="B143" s="3">
        <v>715097.57</v>
      </c>
      <c r="D143">
        <v>114</v>
      </c>
      <c r="E143">
        <v>784959.41978223878</v>
      </c>
      <c r="F143">
        <v>88420.600217761239</v>
      </c>
    </row>
    <row r="144" spans="1:6" ht="14.45">
      <c r="A144" s="3">
        <v>5645</v>
      </c>
      <c r="B144" s="3">
        <v>682639.28</v>
      </c>
      <c r="D144">
        <v>115</v>
      </c>
      <c r="E144">
        <v>775540.41957906168</v>
      </c>
      <c r="F144">
        <v>-78252.519579061656</v>
      </c>
    </row>
    <row r="145" spans="1:6" ht="14.45">
      <c r="A145" s="3">
        <v>6089</v>
      </c>
      <c r="B145" s="3">
        <v>695098.51</v>
      </c>
      <c r="D145">
        <v>116</v>
      </c>
      <c r="E145">
        <v>776396.69232480507</v>
      </c>
      <c r="F145">
        <v>-58321.902324805036</v>
      </c>
    </row>
    <row r="146" spans="1:6" ht="14.45">
      <c r="A146" s="3">
        <v>4312</v>
      </c>
      <c r="B146" s="3">
        <v>577732.56999999995</v>
      </c>
      <c r="D146">
        <v>117</v>
      </c>
      <c r="E146">
        <v>725448.46395307453</v>
      </c>
      <c r="F146">
        <v>-10506.033953074482</v>
      </c>
    </row>
    <row r="147" spans="1:6" ht="14.45">
      <c r="A147" s="3">
        <v>3152</v>
      </c>
      <c r="B147" s="3">
        <v>537058.32999999996</v>
      </c>
      <c r="D147">
        <v>118</v>
      </c>
      <c r="E147">
        <v>747319.0970006031</v>
      </c>
      <c r="F147">
        <v>73199.942999396939</v>
      </c>
    </row>
    <row r="148" spans="1:6" ht="14.45">
      <c r="A148" s="3">
        <v>4259</v>
      </c>
      <c r="B148" s="3">
        <v>601568.87</v>
      </c>
      <c r="D148">
        <v>119</v>
      </c>
      <c r="E148">
        <v>750101.98342426901</v>
      </c>
      <c r="F148">
        <v>-65884.663424269063</v>
      </c>
    </row>
    <row r="149" spans="1:6" ht="14.45">
      <c r="A149" s="3">
        <v>3350</v>
      </c>
      <c r="B149" s="3">
        <v>570964.84</v>
      </c>
      <c r="D149">
        <v>120</v>
      </c>
      <c r="E149">
        <v>725270.07379771117</v>
      </c>
      <c r="F149">
        <v>10210.116202288773</v>
      </c>
    </row>
    <row r="150" spans="1:6" ht="14.45">
      <c r="A150" s="3">
        <v>5329</v>
      </c>
      <c r="B150" s="3">
        <v>614024.91</v>
      </c>
      <c r="D150">
        <v>121</v>
      </c>
      <c r="E150">
        <v>583878.0366568371</v>
      </c>
      <c r="F150">
        <v>-74393.226656837098</v>
      </c>
    </row>
    <row r="151" spans="1:6" ht="14.45">
      <c r="A151" s="3">
        <v>6551</v>
      </c>
      <c r="B151" s="3">
        <v>712868.35</v>
      </c>
      <c r="D151">
        <v>122</v>
      </c>
      <c r="E151">
        <v>578205.22971628723</v>
      </c>
      <c r="F151">
        <v>76111.86028371274</v>
      </c>
    </row>
    <row r="152" spans="1:6" ht="14.45">
      <c r="A152" s="3">
        <v>5550</v>
      </c>
      <c r="B152" s="3">
        <v>696744.15</v>
      </c>
      <c r="D152">
        <v>123</v>
      </c>
      <c r="E152">
        <v>604214.51436824212</v>
      </c>
      <c r="F152">
        <v>-46727.254368242109</v>
      </c>
    </row>
    <row r="153" spans="1:6" ht="14.45">
      <c r="A153" s="3">
        <v>5911</v>
      </c>
      <c r="B153" s="3">
        <v>725847.99</v>
      </c>
      <c r="D153">
        <v>124</v>
      </c>
      <c r="E153">
        <v>514412.91015840613</v>
      </c>
      <c r="F153">
        <v>-73137.490158406144</v>
      </c>
    </row>
    <row r="154" spans="1:6" ht="14.45">
      <c r="A154" s="3">
        <v>9674</v>
      </c>
      <c r="B154" s="3">
        <v>785028.25</v>
      </c>
      <c r="D154">
        <v>125</v>
      </c>
      <c r="E154">
        <v>817319.39396512369</v>
      </c>
      <c r="F154">
        <v>97224.776034876355</v>
      </c>
    </row>
    <row r="155" spans="1:6" ht="14.45">
      <c r="A155" s="3">
        <v>6740</v>
      </c>
      <c r="B155" s="3">
        <v>698492.67</v>
      </c>
      <c r="D155">
        <v>126</v>
      </c>
      <c r="E155">
        <v>841580.45509451907</v>
      </c>
      <c r="F155">
        <v>859.21490548097063</v>
      </c>
    </row>
    <row r="156" spans="1:6" ht="14.45">
      <c r="A156" s="3">
        <v>7745</v>
      </c>
      <c r="B156" s="3">
        <v>685830.24</v>
      </c>
      <c r="D156">
        <v>127</v>
      </c>
      <c r="E156">
        <v>787992.05242341314</v>
      </c>
      <c r="F156">
        <v>54165.867576586897</v>
      </c>
    </row>
    <row r="157" spans="1:6" ht="14.45">
      <c r="A157" s="3">
        <v>7693</v>
      </c>
      <c r="B157" s="3">
        <v>702318.94</v>
      </c>
      <c r="D157">
        <v>128</v>
      </c>
      <c r="E157">
        <v>739719.67638213071</v>
      </c>
      <c r="F157">
        <v>-42564.376382130664</v>
      </c>
    </row>
    <row r="158" spans="1:6" ht="14.45">
      <c r="A158" s="3">
        <v>6424</v>
      </c>
      <c r="B158" s="3">
        <v>700078.32</v>
      </c>
      <c r="D158">
        <v>129</v>
      </c>
      <c r="E158">
        <v>825239.91686324985</v>
      </c>
      <c r="F158">
        <v>23778.383136750199</v>
      </c>
    </row>
    <row r="159" spans="1:6" ht="14.45">
      <c r="A159" s="3">
        <v>5400</v>
      </c>
      <c r="B159" s="3">
        <v>602002.31999999995</v>
      </c>
      <c r="D159">
        <v>130</v>
      </c>
      <c r="E159">
        <v>824455.00017965166</v>
      </c>
      <c r="F159">
        <v>-22624.650179651682</v>
      </c>
    </row>
    <row r="160" spans="1:6" ht="14.45">
      <c r="A160" s="3">
        <v>7015</v>
      </c>
      <c r="B160" s="3">
        <v>724216.07</v>
      </c>
      <c r="D160">
        <v>131</v>
      </c>
      <c r="E160">
        <v>789597.56382168201</v>
      </c>
      <c r="F160">
        <v>-64362.28382168198</v>
      </c>
    </row>
    <row r="161" spans="1:6" ht="14.45">
      <c r="A161" s="3">
        <v>3847</v>
      </c>
      <c r="B161" s="3">
        <v>620973.03</v>
      </c>
      <c r="D161">
        <v>132</v>
      </c>
      <c r="E161">
        <v>833017.72763708537</v>
      </c>
      <c r="F161">
        <v>-21565.007637085393</v>
      </c>
    </row>
    <row r="162" spans="1:6" ht="14.45">
      <c r="A162" s="3">
        <v>7455</v>
      </c>
      <c r="B162" s="3">
        <v>650480.06000000006</v>
      </c>
      <c r="D162">
        <v>133</v>
      </c>
      <c r="E162">
        <v>554978.83148799837</v>
      </c>
      <c r="F162">
        <v>-27678.701487998362</v>
      </c>
    </row>
    <row r="163" spans="1:6" ht="14.45">
      <c r="A163" s="3">
        <v>6992</v>
      </c>
      <c r="B163" s="3">
        <v>778298.88</v>
      </c>
      <c r="D163">
        <v>134</v>
      </c>
      <c r="E163">
        <v>511130.53129972325</v>
      </c>
      <c r="F163">
        <v>-110298.88129972323</v>
      </c>
    </row>
    <row r="164" spans="1:6" ht="14.45">
      <c r="A164" s="3">
        <v>8038</v>
      </c>
      <c r="B164" s="3">
        <v>677096.71</v>
      </c>
      <c r="D164">
        <v>135</v>
      </c>
      <c r="E164">
        <v>575493.69935476664</v>
      </c>
      <c r="F164">
        <v>17753.550645233365</v>
      </c>
    </row>
    <row r="165" spans="1:6" ht="14.45">
      <c r="A165" s="3">
        <v>6055</v>
      </c>
      <c r="B165" s="3">
        <v>692008.64</v>
      </c>
      <c r="D165">
        <v>136</v>
      </c>
      <c r="E165">
        <v>516446.55792954669</v>
      </c>
      <c r="F165">
        <v>12629.392070453265</v>
      </c>
    </row>
    <row r="166" spans="1:6" ht="14.45">
      <c r="A166" s="3">
        <v>9323</v>
      </c>
      <c r="B166" s="3">
        <v>825797.91</v>
      </c>
      <c r="D166">
        <v>137</v>
      </c>
      <c r="E166">
        <v>727838.89203494135</v>
      </c>
      <c r="F166">
        <v>-94200.862034941325</v>
      </c>
    </row>
    <row r="167" spans="1:6" ht="14.45">
      <c r="A167" s="3">
        <v>8789</v>
      </c>
      <c r="B167" s="3">
        <v>706285.52</v>
      </c>
      <c r="D167">
        <v>138</v>
      </c>
      <c r="E167">
        <v>669184.2089515205</v>
      </c>
      <c r="F167">
        <v>74164.631048479467</v>
      </c>
    </row>
    <row r="168" spans="1:6" ht="14.45">
      <c r="A168" s="3">
        <v>6939</v>
      </c>
      <c r="B168" s="3">
        <v>665534.69999999995</v>
      </c>
      <c r="D168">
        <v>139</v>
      </c>
      <c r="E168">
        <v>679887.61827331258</v>
      </c>
      <c r="F168">
        <v>78940.021726687439</v>
      </c>
    </row>
    <row r="169" spans="1:6" ht="14.45">
      <c r="A169" s="3">
        <v>9440</v>
      </c>
      <c r="B169" s="3">
        <v>820729.29</v>
      </c>
      <c r="D169">
        <v>140</v>
      </c>
      <c r="E169">
        <v>641391.0227459335</v>
      </c>
      <c r="F169">
        <v>5168.6872540664626</v>
      </c>
    </row>
    <row r="170" spans="1:6" ht="14.45">
      <c r="A170" s="3">
        <v>9374</v>
      </c>
      <c r="B170" s="3">
        <v>739831.73</v>
      </c>
      <c r="D170">
        <v>141</v>
      </c>
      <c r="E170">
        <v>675713.28863781365</v>
      </c>
      <c r="F170">
        <v>40177.241362186382</v>
      </c>
    </row>
    <row r="171" spans="1:6" ht="14.45">
      <c r="A171" s="3">
        <v>7576</v>
      </c>
      <c r="B171" s="3">
        <v>593637.14</v>
      </c>
      <c r="D171">
        <v>142</v>
      </c>
      <c r="E171">
        <v>685596.10324493505</v>
      </c>
      <c r="F171">
        <v>29501.466755064903</v>
      </c>
    </row>
    <row r="172" spans="1:6" ht="14.45">
      <c r="A172" s="3">
        <v>8949</v>
      </c>
      <c r="B172" s="3">
        <v>769702.76</v>
      </c>
      <c r="D172">
        <v>143</v>
      </c>
      <c r="E172">
        <v>647813.06833900884</v>
      </c>
      <c r="F172">
        <v>34826.21166099119</v>
      </c>
    </row>
    <row r="173" spans="1:6" ht="14.45">
      <c r="A173" s="3">
        <v>7671</v>
      </c>
      <c r="B173" s="3">
        <v>679731.57</v>
      </c>
      <c r="D173">
        <v>144</v>
      </c>
      <c r="E173">
        <v>663654.11413526116</v>
      </c>
      <c r="F173">
        <v>31444.39586473885</v>
      </c>
    </row>
    <row r="174" spans="1:6" ht="14.45">
      <c r="A174" s="3">
        <v>8741</v>
      </c>
      <c r="B174" s="3">
        <v>780344.18</v>
      </c>
      <c r="D174">
        <v>145</v>
      </c>
      <c r="E174">
        <v>600254.25291917915</v>
      </c>
      <c r="F174">
        <v>-22521.682919179206</v>
      </c>
    </row>
    <row r="175" spans="1:6" ht="14.45">
      <c r="A175" s="3">
        <v>9480</v>
      </c>
      <c r="B175" s="3">
        <v>721364.11</v>
      </c>
      <c r="D175">
        <v>146</v>
      </c>
      <c r="E175">
        <v>558867.73687491613</v>
      </c>
      <c r="F175">
        <v>-21809.406874916167</v>
      </c>
    </row>
    <row r="176" spans="1:6" ht="14.45">
      <c r="A176" s="3">
        <v>9826</v>
      </c>
      <c r="B176" s="3">
        <v>758138.29</v>
      </c>
      <c r="D176">
        <v>147</v>
      </c>
      <c r="E176">
        <v>598363.31727232912</v>
      </c>
      <c r="F176">
        <v>3205.5527276708744</v>
      </c>
    </row>
    <row r="177" spans="1:6" ht="14.45">
      <c r="A177" s="3">
        <v>10402</v>
      </c>
      <c r="B177" s="3">
        <v>804264</v>
      </c>
      <c r="D177">
        <v>148</v>
      </c>
      <c r="E177">
        <v>565931.98702729901</v>
      </c>
      <c r="F177">
        <v>5032.8529727009591</v>
      </c>
    </row>
    <row r="178" spans="1:6" ht="14.45">
      <c r="A178" s="3">
        <v>12361</v>
      </c>
      <c r="B178" s="3">
        <v>887537.75</v>
      </c>
      <c r="D178">
        <v>149</v>
      </c>
      <c r="E178">
        <v>636538.81052005442</v>
      </c>
      <c r="F178">
        <v>-22513.900520054391</v>
      </c>
    </row>
    <row r="179" spans="1:6" ht="14.45">
      <c r="A179" s="3">
        <v>7925</v>
      </c>
      <c r="B179" s="3">
        <v>783582</v>
      </c>
      <c r="D179">
        <v>150</v>
      </c>
      <c r="E179">
        <v>680137.36449082103</v>
      </c>
      <c r="F179">
        <v>32730.98550917895</v>
      </c>
    </row>
    <row r="180" spans="1:6" ht="14.45">
      <c r="A180" s="3">
        <v>8870</v>
      </c>
      <c r="B180" s="3">
        <v>781955.52</v>
      </c>
      <c r="D180">
        <v>151</v>
      </c>
      <c r="E180">
        <v>644423.65538710798</v>
      </c>
      <c r="F180">
        <v>52320.494612892042</v>
      </c>
    </row>
    <row r="181" spans="1:6" ht="14.45">
      <c r="A181" s="3">
        <v>9999</v>
      </c>
      <c r="B181" s="3">
        <v>898031.04</v>
      </c>
      <c r="D181">
        <v>152</v>
      </c>
      <c r="E181">
        <v>657303.42460433114</v>
      </c>
      <c r="F181">
        <v>68544.565395668847</v>
      </c>
    </row>
    <row r="182" spans="1:6" ht="14.45">
      <c r="A182" s="3">
        <v>11154</v>
      </c>
      <c r="B182" s="3">
        <v>855341.28</v>
      </c>
      <c r="D182">
        <v>153</v>
      </c>
      <c r="E182">
        <v>791559.85553067725</v>
      </c>
      <c r="F182">
        <v>-6531.6055306772469</v>
      </c>
    </row>
    <row r="183" spans="1:6" ht="14.45">
      <c r="A183" s="3">
        <v>9287</v>
      </c>
      <c r="B183" s="3">
        <v>751393.88</v>
      </c>
      <c r="D183">
        <v>154</v>
      </c>
      <c r="E183">
        <v>686880.51236355014</v>
      </c>
      <c r="F183">
        <v>11612.157636449905</v>
      </c>
    </row>
    <row r="184" spans="1:6" ht="14.45">
      <c r="A184" s="3">
        <v>9812</v>
      </c>
      <c r="B184" s="3">
        <v>761077.08</v>
      </c>
      <c r="D184">
        <v>155</v>
      </c>
      <c r="E184">
        <v>722736.93359155371</v>
      </c>
      <c r="F184">
        <v>-36906.693591553718</v>
      </c>
    </row>
    <row r="185" spans="1:6" ht="14.45">
      <c r="A185" s="3">
        <v>10741</v>
      </c>
      <c r="B185" s="3">
        <v>819660.59</v>
      </c>
      <c r="D185">
        <v>156</v>
      </c>
      <c r="E185">
        <v>720881.67597577651</v>
      </c>
      <c r="F185">
        <v>-18562.735975776566</v>
      </c>
    </row>
    <row r="186" spans="1:6" ht="14.45">
      <c r="A186" s="3">
        <v>6084</v>
      </c>
      <c r="B186" s="3">
        <v>681855.56</v>
      </c>
      <c r="D186">
        <v>157</v>
      </c>
      <c r="E186">
        <v>675606.25454459572</v>
      </c>
      <c r="F186">
        <v>24472.065455404227</v>
      </c>
    </row>
    <row r="187" spans="1:6" ht="14.45">
      <c r="A187" s="3">
        <v>5252</v>
      </c>
      <c r="B187" s="3">
        <v>678311.17</v>
      </c>
      <c r="D187">
        <v>158</v>
      </c>
      <c r="E187">
        <v>639071.95072621189</v>
      </c>
      <c r="F187">
        <v>-37069.630726211937</v>
      </c>
    </row>
    <row r="188" spans="1:6" ht="14.45">
      <c r="A188" s="3">
        <v>6516</v>
      </c>
      <c r="B188" s="3">
        <v>765906.95</v>
      </c>
      <c r="D188">
        <v>159</v>
      </c>
      <c r="E188">
        <v>696691.97090852621</v>
      </c>
      <c r="F188">
        <v>27524.099091473734</v>
      </c>
    </row>
    <row r="189" spans="1:6" ht="14.45">
      <c r="A189" s="3">
        <v>7932</v>
      </c>
      <c r="B189" s="3">
        <v>712546.38</v>
      </c>
      <c r="D189">
        <v>160</v>
      </c>
      <c r="E189">
        <v>583663.96847040125</v>
      </c>
      <c r="F189">
        <v>37309.061529598781</v>
      </c>
    </row>
    <row r="190" spans="1:6" ht="14.45">
      <c r="A190" s="3">
        <v>3506</v>
      </c>
      <c r="B190" s="3">
        <v>625993.82999999996</v>
      </c>
      <c r="D190">
        <v>161</v>
      </c>
      <c r="E190">
        <v>712390.30458048801</v>
      </c>
      <c r="F190">
        <v>-61910.244580487953</v>
      </c>
    </row>
    <row r="191" spans="1:6" ht="14.45">
      <c r="A191" s="3">
        <v>2312</v>
      </c>
      <c r="B191" s="3">
        <v>550962.93000000005</v>
      </c>
      <c r="D191">
        <v>162</v>
      </c>
      <c r="E191">
        <v>695871.37619385554</v>
      </c>
      <c r="F191">
        <v>82427.503806144465</v>
      </c>
    </row>
    <row r="192" spans="1:6" ht="14.45">
      <c r="A192" s="3">
        <v>1268</v>
      </c>
      <c r="B192" s="3">
        <v>443275.59</v>
      </c>
      <c r="D192">
        <v>163</v>
      </c>
      <c r="E192">
        <v>733190.59669583745</v>
      </c>
      <c r="F192">
        <v>-56093.886695837486</v>
      </c>
    </row>
    <row r="193" spans="1:6" ht="14.45">
      <c r="A193" s="3">
        <v>4423</v>
      </c>
      <c r="B193" s="3">
        <v>554012.06999999995</v>
      </c>
      <c r="D193">
        <v>164</v>
      </c>
      <c r="E193">
        <v>662441.06107879139</v>
      </c>
      <c r="F193">
        <v>29567.578921208624</v>
      </c>
    </row>
    <row r="194" spans="1:6" ht="14.45">
      <c r="A194" s="3">
        <v>6177</v>
      </c>
      <c r="B194" s="3">
        <v>643428.85</v>
      </c>
      <c r="D194">
        <v>165</v>
      </c>
      <c r="E194">
        <v>779036.86662418046</v>
      </c>
      <c r="F194">
        <v>46761.043375819572</v>
      </c>
    </row>
    <row r="195" spans="1:6" ht="14.45">
      <c r="A195" s="3">
        <v>5150</v>
      </c>
      <c r="B195" s="3">
        <v>611924.27</v>
      </c>
      <c r="D195">
        <v>166</v>
      </c>
      <c r="E195">
        <v>759984.79803139041</v>
      </c>
      <c r="F195">
        <v>-53699.278031390393</v>
      </c>
    </row>
    <row r="196" spans="1:6" ht="14.45">
      <c r="A196" s="3">
        <v>3783</v>
      </c>
      <c r="B196" s="3">
        <v>559422.02</v>
      </c>
      <c r="D196">
        <v>167</v>
      </c>
      <c r="E196">
        <v>693980.44054700551</v>
      </c>
      <c r="F196">
        <v>-28445.740547005553</v>
      </c>
    </row>
    <row r="197" spans="1:6" ht="14.45">
      <c r="A197" s="3">
        <v>3135</v>
      </c>
      <c r="B197" s="3">
        <v>449465.06</v>
      </c>
      <c r="D197">
        <v>168</v>
      </c>
      <c r="E197">
        <v>783211.19625967939</v>
      </c>
      <c r="F197">
        <v>37518.093740320648</v>
      </c>
    </row>
    <row r="198" spans="1:6" ht="14.45">
      <c r="A198" s="3">
        <v>4970</v>
      </c>
      <c r="B198" s="3">
        <v>691447.43</v>
      </c>
      <c r="D198">
        <v>169</v>
      </c>
      <c r="E198">
        <v>780856.44620888517</v>
      </c>
      <c r="F198">
        <v>-41024.716208885191</v>
      </c>
    </row>
    <row r="199" spans="1:6" ht="14.45">
      <c r="A199" s="3">
        <v>4366</v>
      </c>
      <c r="B199" s="3">
        <v>574066.61</v>
      </c>
      <c r="D199">
        <v>170</v>
      </c>
      <c r="E199">
        <v>716707.34634027747</v>
      </c>
      <c r="F199">
        <v>-123070.20634027745</v>
      </c>
    </row>
    <row r="200" spans="1:6" ht="14.45">
      <c r="A200" s="3">
        <v>5012</v>
      </c>
      <c r="B200" s="3">
        <v>578949.84</v>
      </c>
      <c r="D200">
        <v>171</v>
      </c>
      <c r="E200">
        <v>765693.28300301288</v>
      </c>
      <c r="F200">
        <v>4009.4769969871268</v>
      </c>
    </row>
    <row r="201" spans="1:6" ht="14.45">
      <c r="A201" s="3">
        <v>5575</v>
      </c>
      <c r="B201" s="3">
        <v>735786.64</v>
      </c>
      <c r="D201">
        <v>172</v>
      </c>
      <c r="E201">
        <v>720096.75929217832</v>
      </c>
      <c r="F201">
        <v>-40365.189292178373</v>
      </c>
    </row>
    <row r="202" spans="1:6" ht="14.45">
      <c r="A202" s="3">
        <v>5955</v>
      </c>
      <c r="B202" s="3">
        <v>598904.9</v>
      </c>
      <c r="D202">
        <v>173</v>
      </c>
      <c r="E202">
        <v>758272.25253990362</v>
      </c>
      <c r="F202">
        <v>22071.927460096427</v>
      </c>
    </row>
    <row r="203" spans="1:6" ht="14.45">
      <c r="A203" s="3">
        <v>6389</v>
      </c>
      <c r="B203" s="3">
        <v>787715.51</v>
      </c>
      <c r="D203">
        <v>174</v>
      </c>
      <c r="E203">
        <v>784638.31750258501</v>
      </c>
      <c r="F203">
        <v>-63274.207502585021</v>
      </c>
    </row>
    <row r="204" spans="1:6" ht="14.45">
      <c r="A204" s="3">
        <v>6896</v>
      </c>
      <c r="B204" s="3">
        <v>607084.92000000004</v>
      </c>
      <c r="D204">
        <v>175</v>
      </c>
      <c r="E204">
        <v>796982.91625371855</v>
      </c>
      <c r="F204">
        <v>-38844.62625371851</v>
      </c>
    </row>
    <row r="205" spans="1:6" ht="14.45">
      <c r="A205" s="3">
        <v>6015</v>
      </c>
      <c r="B205" s="3">
        <v>650795.49</v>
      </c>
      <c r="D205">
        <v>176</v>
      </c>
      <c r="E205">
        <v>817533.46215155954</v>
      </c>
      <c r="F205">
        <v>-13269.462151559535</v>
      </c>
    </row>
    <row r="206" spans="1:6" ht="14.45">
      <c r="A206" s="3">
        <v>9476</v>
      </c>
      <c r="B206" s="3">
        <v>825060.52</v>
      </c>
      <c r="D206">
        <v>177</v>
      </c>
      <c r="E206">
        <v>887426.7250228622</v>
      </c>
      <c r="F206">
        <v>111.02497713780031</v>
      </c>
    </row>
    <row r="207" spans="1:6" ht="14.45">
      <c r="A207" s="3">
        <v>7875</v>
      </c>
      <c r="B207" s="3">
        <v>795464.47</v>
      </c>
      <c r="D207">
        <v>178</v>
      </c>
      <c r="E207">
        <v>729158.97918462905</v>
      </c>
      <c r="F207">
        <v>54423.020815370954</v>
      </c>
    </row>
    <row r="208" spans="1:6" ht="14.45">
      <c r="A208" s="3">
        <v>9283</v>
      </c>
      <c r="B208" s="3">
        <v>671868.59</v>
      </c>
      <c r="D208">
        <v>179</v>
      </c>
      <c r="E208">
        <v>762874.71854827437</v>
      </c>
      <c r="F208">
        <v>19080.801451725652</v>
      </c>
    </row>
    <row r="209" spans="1:6" ht="14.45">
      <c r="A209" s="3">
        <v>8303</v>
      </c>
      <c r="B209" s="3">
        <v>675917.63</v>
      </c>
      <c r="D209">
        <v>180</v>
      </c>
      <c r="E209">
        <v>803155.21562928543</v>
      </c>
      <c r="F209">
        <v>94875.824370714603</v>
      </c>
    </row>
    <row r="210" spans="1:6" ht="14.45">
      <c r="A210" s="3">
        <v>10125</v>
      </c>
      <c r="B210" s="3">
        <v>810446.53</v>
      </c>
      <c r="D210">
        <v>181</v>
      </c>
      <c r="E210">
        <v>844363.3415181851</v>
      </c>
      <c r="F210">
        <v>10977.938481814926</v>
      </c>
    </row>
    <row r="211" spans="1:6" ht="14.45">
      <c r="A211" s="3">
        <v>9458</v>
      </c>
      <c r="B211" s="3">
        <v>691288.19</v>
      </c>
      <c r="D211">
        <v>182</v>
      </c>
      <c r="E211">
        <v>777752.45750556537</v>
      </c>
      <c r="F211">
        <v>-26358.577505565365</v>
      </c>
    </row>
    <row r="212" spans="1:6" ht="14.45">
      <c r="A212" s="3">
        <v>12870</v>
      </c>
      <c r="B212" s="3">
        <v>946833.54</v>
      </c>
      <c r="D212">
        <v>183</v>
      </c>
      <c r="E212">
        <v>796483.42381870165</v>
      </c>
      <c r="F212">
        <v>-35406.343818701687</v>
      </c>
    </row>
    <row r="213" spans="1:6" ht="14.45">
      <c r="A213" s="3">
        <v>9752</v>
      </c>
      <c r="B213" s="3">
        <v>761963.23</v>
      </c>
      <c r="D213">
        <v>184</v>
      </c>
      <c r="E213">
        <v>829628.31468518462</v>
      </c>
      <c r="F213">
        <v>-9967.7246851846576</v>
      </c>
    </row>
    <row r="214" spans="1:6" ht="14.45">
      <c r="A214" s="3">
        <v>9505</v>
      </c>
      <c r="B214" s="3">
        <v>812152.6</v>
      </c>
      <c r="D214">
        <v>185</v>
      </c>
      <c r="E214">
        <v>663475.72397989803</v>
      </c>
      <c r="F214">
        <v>18379.836020102026</v>
      </c>
    </row>
    <row r="215" spans="1:6" ht="14.45">
      <c r="A215" s="3">
        <v>9412</v>
      </c>
      <c r="B215" s="3">
        <v>804975.5</v>
      </c>
      <c r="D215">
        <v>186</v>
      </c>
      <c r="E215">
        <v>633791.60212746111</v>
      </c>
      <c r="F215">
        <v>44519.56787253893</v>
      </c>
    </row>
    <row r="216" spans="1:6" ht="14.45">
      <c r="A216" s="3">
        <v>9644</v>
      </c>
      <c r="B216" s="3">
        <v>752321.72</v>
      </c>
      <c r="D216">
        <v>187</v>
      </c>
      <c r="E216">
        <v>678888.63340327865</v>
      </c>
      <c r="F216">
        <v>87018.316596721299</v>
      </c>
    </row>
    <row r="217" spans="1:6" ht="14.45">
      <c r="A217" s="3">
        <v>11224</v>
      </c>
      <c r="B217" s="3">
        <v>836908.24</v>
      </c>
      <c r="D217">
        <v>188</v>
      </c>
      <c r="E217">
        <v>729408.7254021375</v>
      </c>
      <c r="F217">
        <v>-16862.345402137493</v>
      </c>
    </row>
    <row r="218" spans="1:6" ht="14.45">
      <c r="A218" s="3">
        <v>5394</v>
      </c>
      <c r="B218" s="3">
        <v>674289.1</v>
      </c>
      <c r="D218">
        <v>189</v>
      </c>
      <c r="E218">
        <v>571497.75987463084</v>
      </c>
      <c r="F218">
        <v>54496.070125369122</v>
      </c>
    </row>
    <row r="219" spans="1:6" ht="14.45">
      <c r="A219" s="3">
        <v>5014</v>
      </c>
      <c r="B219" s="3">
        <v>622892.42000000004</v>
      </c>
      <c r="D219">
        <v>190</v>
      </c>
      <c r="E219">
        <v>528898.19077389815</v>
      </c>
      <c r="F219">
        <v>22064.739226101898</v>
      </c>
    </row>
    <row r="220" spans="1:6" ht="14.45">
      <c r="A220" s="3">
        <v>4467</v>
      </c>
      <c r="B220" s="3">
        <v>673348.56</v>
      </c>
      <c r="D220">
        <v>191</v>
      </c>
      <c r="E220">
        <v>491650.32633406157</v>
      </c>
      <c r="F220">
        <v>-48374.736334061541</v>
      </c>
    </row>
    <row r="221" spans="1:6" ht="14.45">
      <c r="A221" s="3">
        <v>4678</v>
      </c>
      <c r="B221" s="3">
        <v>606278.30000000005</v>
      </c>
      <c r="D221">
        <v>192</v>
      </c>
      <c r="E221">
        <v>604214.51436824212</v>
      </c>
      <c r="F221">
        <v>-50202.44436824217</v>
      </c>
    </row>
    <row r="222" spans="1:6" ht="14.45">
      <c r="A222" s="3">
        <v>7291</v>
      </c>
      <c r="B222" s="3">
        <v>712219.81</v>
      </c>
      <c r="D222">
        <v>193</v>
      </c>
      <c r="E222">
        <v>666793.78086965356</v>
      </c>
      <c r="F222">
        <v>-23364.930869653588</v>
      </c>
    </row>
    <row r="223" spans="1:6" ht="14.45">
      <c r="A223" s="3">
        <v>7404</v>
      </c>
      <c r="B223" s="3">
        <v>672670.54</v>
      </c>
      <c r="D223">
        <v>194</v>
      </c>
      <c r="E223">
        <v>630152.4429580518</v>
      </c>
      <c r="F223">
        <v>-18228.172958051786</v>
      </c>
    </row>
    <row r="224" spans="1:6" ht="14.45">
      <c r="A224" s="3">
        <v>7880</v>
      </c>
      <c r="B224" s="3">
        <v>732667.92</v>
      </c>
      <c r="D224">
        <v>195</v>
      </c>
      <c r="E224">
        <v>581380.57448175224</v>
      </c>
      <c r="F224">
        <v>-21958.554481752217</v>
      </c>
    </row>
    <row r="225" spans="1:6" ht="14.45">
      <c r="A225" s="3">
        <v>8773</v>
      </c>
      <c r="B225" s="3">
        <v>723531.4</v>
      </c>
      <c r="D225">
        <v>196</v>
      </c>
      <c r="E225">
        <v>558261.2103466813</v>
      </c>
      <c r="F225">
        <v>-108796.1503466813</v>
      </c>
    </row>
    <row r="226" spans="1:6" ht="14.45">
      <c r="A226" s="3">
        <v>4713</v>
      </c>
      <c r="B226" s="3">
        <v>641564.6</v>
      </c>
      <c r="D226">
        <v>197</v>
      </c>
      <c r="E226">
        <v>623730.39736497658</v>
      </c>
      <c r="F226">
        <v>67717.032635023468</v>
      </c>
    </row>
    <row r="227" spans="1:6" ht="14.45">
      <c r="A227" s="3">
        <v>2842</v>
      </c>
      <c r="B227" s="3">
        <v>536545.49</v>
      </c>
      <c r="D227">
        <v>198</v>
      </c>
      <c r="E227">
        <v>602180.86659710167</v>
      </c>
      <c r="F227">
        <v>-28114.256597101688</v>
      </c>
    </row>
    <row r="228" spans="1:6" ht="14.45">
      <c r="A228" s="3">
        <v>3872</v>
      </c>
      <c r="B228" s="3">
        <v>527681.56000000006</v>
      </c>
      <c r="D228">
        <v>199</v>
      </c>
      <c r="E228">
        <v>625228.87467002741</v>
      </c>
      <c r="F228">
        <v>-46279.034670027439</v>
      </c>
    </row>
    <row r="229" spans="1:6" ht="14.45">
      <c r="A229" s="3">
        <v>1375</v>
      </c>
      <c r="B229" s="3">
        <v>529598.93999999994</v>
      </c>
      <c r="D229">
        <v>200</v>
      </c>
      <c r="E229">
        <v>645315.60616392398</v>
      </c>
      <c r="F229">
        <v>90471.033836076036</v>
      </c>
    </row>
    <row r="230" spans="1:6" ht="14.45">
      <c r="A230" s="3">
        <v>5957</v>
      </c>
      <c r="B230" s="3">
        <v>570963.31000000006</v>
      </c>
      <c r="D230">
        <v>201</v>
      </c>
      <c r="E230">
        <v>658873.2579715274</v>
      </c>
      <c r="F230">
        <v>-59968.357971527381</v>
      </c>
    </row>
    <row r="231" spans="1:6" ht="14.45">
      <c r="A231" s="3">
        <v>8961</v>
      </c>
      <c r="B231" s="3">
        <v>870937.4</v>
      </c>
      <c r="D231">
        <v>202</v>
      </c>
      <c r="E231">
        <v>674357.52345705335</v>
      </c>
      <c r="F231">
        <v>113357.98654294666</v>
      </c>
    </row>
    <row r="232" spans="1:6" ht="14.45">
      <c r="A232" s="3">
        <v>6545</v>
      </c>
      <c r="B232" s="3">
        <v>596969.27</v>
      </c>
      <c r="D232">
        <v>203</v>
      </c>
      <c r="E232">
        <v>692446.28521088208</v>
      </c>
      <c r="F232">
        <v>-85361.365210882039</v>
      </c>
    </row>
    <row r="233" spans="1:6" ht="14.45">
      <c r="A233" s="3">
        <v>5457</v>
      </c>
      <c r="B233" s="3">
        <v>647512.85</v>
      </c>
      <c r="D233">
        <v>204</v>
      </c>
      <c r="E233">
        <v>661013.93983588577</v>
      </c>
      <c r="F233">
        <v>-10218.449835885782</v>
      </c>
    </row>
    <row r="234" spans="1:6" ht="14.45">
      <c r="A234" s="3">
        <v>4264</v>
      </c>
      <c r="B234" s="3">
        <v>658072.14</v>
      </c>
      <c r="D234">
        <v>205</v>
      </c>
      <c r="E234">
        <v>784495.60537829436</v>
      </c>
      <c r="F234">
        <v>40564.914621705655</v>
      </c>
    </row>
    <row r="235" spans="1:6" ht="14.45">
      <c r="A235" s="3">
        <v>5321</v>
      </c>
      <c r="B235" s="3">
        <v>723305.11</v>
      </c>
      <c r="D235">
        <v>206</v>
      </c>
      <c r="E235">
        <v>727375.07763099705</v>
      </c>
      <c r="F235">
        <v>68089.392369002919</v>
      </c>
    </row>
    <row r="236" spans="1:6" ht="14.45">
      <c r="A236" s="3">
        <v>5479</v>
      </c>
      <c r="B236" s="3">
        <v>640666.53</v>
      </c>
      <c r="D236">
        <v>207</v>
      </c>
      <c r="E236">
        <v>777609.74538127473</v>
      </c>
      <c r="F236">
        <v>-105741.15538127476</v>
      </c>
    </row>
    <row r="237" spans="1:6" ht="14.45">
      <c r="A237" s="3">
        <v>6169</v>
      </c>
      <c r="B237" s="3">
        <v>670629.48</v>
      </c>
      <c r="D237">
        <v>208</v>
      </c>
      <c r="E237">
        <v>742645.27493008715</v>
      </c>
      <c r="F237">
        <v>-66727.644930087146</v>
      </c>
    </row>
    <row r="238" spans="1:6" ht="14.45">
      <c r="A238" s="3">
        <v>9908</v>
      </c>
      <c r="B238" s="3">
        <v>721079.35</v>
      </c>
      <c r="D238">
        <v>209</v>
      </c>
      <c r="E238">
        <v>807650.64754443802</v>
      </c>
      <c r="F238">
        <v>2795.8824555620085</v>
      </c>
    </row>
    <row r="239" spans="1:6" ht="14.45">
      <c r="A239" s="3">
        <v>9996</v>
      </c>
      <c r="B239" s="3">
        <v>810355.02</v>
      </c>
      <c r="D239">
        <v>210</v>
      </c>
      <c r="E239">
        <v>783853.40081898682</v>
      </c>
      <c r="F239">
        <v>-92565.210818986874</v>
      </c>
    </row>
    <row r="240" spans="1:6" ht="14.45">
      <c r="A240" s="3">
        <v>9702</v>
      </c>
      <c r="B240" s="3">
        <v>761919.25</v>
      </c>
      <c r="D240">
        <v>211</v>
      </c>
      <c r="E240">
        <v>905586.84283883614</v>
      </c>
      <c r="F240">
        <v>41246.697161163902</v>
      </c>
    </row>
    <row r="241" spans="1:6" ht="14.45">
      <c r="A241" s="3">
        <v>9314</v>
      </c>
      <c r="B241" s="3">
        <v>737070.18</v>
      </c>
      <c r="D241">
        <v>212</v>
      </c>
      <c r="E241">
        <v>794342.74195434316</v>
      </c>
      <c r="F241">
        <v>-32379.511954343179</v>
      </c>
    </row>
    <row r="242" spans="1:6" ht="14.45">
      <c r="A242" s="3">
        <v>8055</v>
      </c>
      <c r="B242" s="3">
        <v>776992.93</v>
      </c>
      <c r="D242">
        <v>213</v>
      </c>
      <c r="E242">
        <v>785530.268279401</v>
      </c>
      <c r="F242">
        <v>26622.331720598973</v>
      </c>
    </row>
    <row r="243" spans="1:6" ht="14.45">
      <c r="A243" s="3">
        <v>5648</v>
      </c>
      <c r="B243" s="3">
        <v>676337.41</v>
      </c>
      <c r="D243">
        <v>214</v>
      </c>
      <c r="E243">
        <v>782212.21138964547</v>
      </c>
      <c r="F243">
        <v>22763.288610354532</v>
      </c>
    </row>
    <row r="244" spans="1:6" ht="14.45">
      <c r="A244" s="3">
        <v>10076</v>
      </c>
      <c r="B244" s="3">
        <v>828219.67</v>
      </c>
      <c r="D244">
        <v>215</v>
      </c>
      <c r="E244">
        <v>790489.514598498</v>
      </c>
      <c r="F244">
        <v>-38167.794598498032</v>
      </c>
    </row>
    <row r="245" spans="1:6" ht="14.45">
      <c r="A245" s="3">
        <v>8004</v>
      </c>
      <c r="B245" s="3">
        <v>763159.92</v>
      </c>
      <c r="D245">
        <v>216</v>
      </c>
      <c r="E245">
        <v>846860.80369326996</v>
      </c>
      <c r="F245">
        <v>-9952.5636932699708</v>
      </c>
    </row>
    <row r="246" spans="1:6" ht="14.45">
      <c r="A246" s="3">
        <v>8934</v>
      </c>
      <c r="B246" s="3">
        <v>802001.68</v>
      </c>
      <c r="D246">
        <v>217</v>
      </c>
      <c r="E246">
        <v>638857.88253977604</v>
      </c>
      <c r="F246">
        <v>35431.217460223939</v>
      </c>
    </row>
    <row r="247" spans="1:6" ht="14.45">
      <c r="A247" s="3">
        <v>8733</v>
      </c>
      <c r="B247" s="3">
        <v>750471.34</v>
      </c>
      <c r="D247">
        <v>218</v>
      </c>
      <c r="E247">
        <v>625300.23073217273</v>
      </c>
      <c r="F247">
        <v>-2407.8107321726857</v>
      </c>
    </row>
    <row r="248" spans="1:6" ht="14.45">
      <c r="A248" s="3">
        <v>7374</v>
      </c>
      <c r="B248" s="3">
        <v>679230.86</v>
      </c>
      <c r="D248">
        <v>219</v>
      </c>
      <c r="E248">
        <v>605784.34773543838</v>
      </c>
      <c r="F248">
        <v>67564.212264561676</v>
      </c>
    </row>
    <row r="249" spans="1:6" ht="14.45">
      <c r="A249" s="3">
        <v>8119</v>
      </c>
      <c r="B249" s="3">
        <v>679888.74</v>
      </c>
      <c r="D249">
        <v>220</v>
      </c>
      <c r="E249">
        <v>613312.41229176545</v>
      </c>
      <c r="F249">
        <v>-7034.1122917653993</v>
      </c>
    </row>
    <row r="250" spans="1:6" ht="14.45">
      <c r="A250" s="3">
        <v>3875</v>
      </c>
      <c r="B250" s="3">
        <v>606783.67000000004</v>
      </c>
      <c r="D250">
        <v>221</v>
      </c>
      <c r="E250">
        <v>706539.10748457501</v>
      </c>
      <c r="F250">
        <v>5680.7025154250441</v>
      </c>
    </row>
    <row r="251" spans="1:6" ht="14.45">
      <c r="A251" s="3">
        <v>5765</v>
      </c>
      <c r="B251" s="3">
        <v>642751.42000000004</v>
      </c>
      <c r="D251">
        <v>222</v>
      </c>
      <c r="E251">
        <v>710570.72499578341</v>
      </c>
      <c r="F251">
        <v>-37900.184995783377</v>
      </c>
    </row>
    <row r="252" spans="1:6" ht="14.45">
      <c r="A252" s="3">
        <v>6322</v>
      </c>
      <c r="B252" s="3">
        <v>647953.78</v>
      </c>
      <c r="D252">
        <v>223</v>
      </c>
      <c r="E252">
        <v>727553.4677863603</v>
      </c>
      <c r="F252">
        <v>5114.4522136397427</v>
      </c>
    </row>
    <row r="253" spans="1:6" ht="14.45">
      <c r="A253" s="3">
        <v>6840</v>
      </c>
      <c r="B253" s="3">
        <v>729440.45</v>
      </c>
      <c r="D253">
        <v>224</v>
      </c>
      <c r="E253">
        <v>759413.94953422819</v>
      </c>
      <c r="F253">
        <v>-35882.549534228165</v>
      </c>
    </row>
    <row r="254" spans="1:6" ht="14.45">
      <c r="A254" s="3">
        <v>6782</v>
      </c>
      <c r="B254" s="3">
        <v>764949</v>
      </c>
      <c r="D254">
        <v>225</v>
      </c>
      <c r="E254">
        <v>614561.14337930793</v>
      </c>
      <c r="F254">
        <v>27003.456620692043</v>
      </c>
    </row>
    <row r="255" spans="1:6" ht="14.45">
      <c r="A255" s="3">
        <v>6856</v>
      </c>
      <c r="B255" s="3">
        <v>799046.94</v>
      </c>
      <c r="D255">
        <v>226</v>
      </c>
      <c r="E255">
        <v>547807.54724239768</v>
      </c>
      <c r="F255">
        <v>-11262.057242397685</v>
      </c>
    </row>
    <row r="256" spans="1:6" ht="14.45">
      <c r="A256" s="3">
        <v>5641</v>
      </c>
      <c r="B256" s="3">
        <v>720079.54</v>
      </c>
      <c r="D256">
        <v>227</v>
      </c>
      <c r="E256">
        <v>584555.91924721724</v>
      </c>
      <c r="F256">
        <v>-56874.359247217188</v>
      </c>
    </row>
    <row r="257" spans="1:6" ht="14.45">
      <c r="A257" s="3">
        <v>5787</v>
      </c>
      <c r="B257" s="3">
        <v>612390.14</v>
      </c>
      <c r="D257">
        <v>228</v>
      </c>
      <c r="E257">
        <v>495467.87565883406</v>
      </c>
      <c r="F257">
        <v>34131.064341165882</v>
      </c>
    </row>
    <row r="258" spans="1:6" ht="14.45">
      <c r="A258" s="3">
        <v>8165</v>
      </c>
      <c r="B258" s="3">
        <v>840108.12</v>
      </c>
      <c r="D258">
        <v>229</v>
      </c>
      <c r="E258">
        <v>658944.61403367261</v>
      </c>
      <c r="F258">
        <v>-87981.304033672553</v>
      </c>
    </row>
    <row r="259" spans="1:6" ht="14.45">
      <c r="A259" s="3">
        <v>7574</v>
      </c>
      <c r="B259" s="3">
        <v>697888.09</v>
      </c>
      <c r="D259">
        <v>230</v>
      </c>
      <c r="E259">
        <v>766121.41937588458</v>
      </c>
      <c r="F259">
        <v>104815.98062411544</v>
      </c>
    </row>
    <row r="260" spans="1:6" ht="14.45">
      <c r="A260" s="3">
        <v>8634</v>
      </c>
      <c r="B260" s="3">
        <v>746115.59</v>
      </c>
      <c r="D260">
        <v>231</v>
      </c>
      <c r="E260">
        <v>679923.29630438518</v>
      </c>
      <c r="F260">
        <v>-82954.026304385159</v>
      </c>
    </row>
    <row r="261" spans="1:6" ht="14.45">
      <c r="A261" s="3">
        <v>7836</v>
      </c>
      <c r="B261" s="3">
        <v>776110.32</v>
      </c>
      <c r="D261">
        <v>232</v>
      </c>
      <c r="E261">
        <v>641105.59849735245</v>
      </c>
      <c r="F261">
        <v>6407.2515026475303</v>
      </c>
    </row>
    <row r="262" spans="1:6" ht="14.45">
      <c r="A262" s="3">
        <v>3047</v>
      </c>
      <c r="B262" s="3">
        <v>528852.62</v>
      </c>
      <c r="D262">
        <v>233</v>
      </c>
      <c r="E262">
        <v>598541.70742769237</v>
      </c>
      <c r="F262">
        <v>59530.432572307647</v>
      </c>
    </row>
    <row r="263" spans="1:6" ht="14.45">
      <c r="A263" s="3">
        <v>4783</v>
      </c>
      <c r="B263" s="3">
        <v>605751.32999999996</v>
      </c>
      <c r="D263">
        <v>234</v>
      </c>
      <c r="E263">
        <v>636253.38627147325</v>
      </c>
      <c r="F263">
        <v>87051.723728526733</v>
      </c>
    </row>
    <row r="264" spans="1:6" ht="14.45">
      <c r="A264" s="3">
        <v>4902</v>
      </c>
      <c r="B264" s="3">
        <v>677640.65</v>
      </c>
      <c r="D264">
        <v>235</v>
      </c>
      <c r="E264">
        <v>641890.51518095052</v>
      </c>
      <c r="F264">
        <v>-1223.9851809504908</v>
      </c>
    </row>
    <row r="265" spans="1:6" ht="14.45">
      <c r="A265" s="3">
        <v>4022</v>
      </c>
      <c r="B265" s="3">
        <v>636613.23</v>
      </c>
      <c r="D265">
        <v>236</v>
      </c>
      <c r="E265">
        <v>666508.35662107239</v>
      </c>
      <c r="F265">
        <v>4121.1233789275866</v>
      </c>
    </row>
    <row r="266" spans="1:6" ht="14.45">
      <c r="A266" s="3">
        <v>7324</v>
      </c>
      <c r="B266" s="3">
        <v>708985.19</v>
      </c>
      <c r="D266">
        <v>237</v>
      </c>
      <c r="E266">
        <v>799908.5148016751</v>
      </c>
      <c r="F266">
        <v>-78829.164801675128</v>
      </c>
    </row>
    <row r="267" spans="1:6" ht="14.45">
      <c r="A267" s="3">
        <v>8129</v>
      </c>
      <c r="B267" s="3">
        <v>767792.94</v>
      </c>
      <c r="D267">
        <v>238</v>
      </c>
      <c r="E267">
        <v>803048.18153606751</v>
      </c>
      <c r="F267">
        <v>7306.8384639325086</v>
      </c>
    </row>
    <row r="268" spans="1:6" ht="14.45">
      <c r="A268" s="3">
        <v>7969</v>
      </c>
      <c r="B268" s="3">
        <v>745580.51</v>
      </c>
      <c r="D268">
        <v>239</v>
      </c>
      <c r="E268">
        <v>792558.84040071117</v>
      </c>
      <c r="F268">
        <v>-30639.590400711168</v>
      </c>
    </row>
    <row r="269" spans="1:6" ht="14.45">
      <c r="A269" s="3">
        <v>7240</v>
      </c>
      <c r="B269" s="3">
        <v>762328.31</v>
      </c>
      <c r="D269">
        <v>240</v>
      </c>
      <c r="E269">
        <v>778715.76434452669</v>
      </c>
      <c r="F269">
        <v>-41645.584344526636</v>
      </c>
    </row>
    <row r="270" spans="1:6" ht="14.45">
      <c r="A270" s="3">
        <v>8052</v>
      </c>
      <c r="B270" s="3">
        <v>660633.99</v>
      </c>
      <c r="D270">
        <v>241</v>
      </c>
      <c r="E270">
        <v>733797.12322407239</v>
      </c>
      <c r="F270">
        <v>43195.80677592766</v>
      </c>
    </row>
    <row r="271" spans="1:6" ht="14.45">
      <c r="A271" s="3">
        <v>8018</v>
      </c>
      <c r="B271" s="3">
        <v>739374.56</v>
      </c>
      <c r="D271">
        <v>242</v>
      </c>
      <c r="E271">
        <v>647920.10243222676</v>
      </c>
      <c r="F271">
        <v>28417.30756777327</v>
      </c>
    </row>
    <row r="272" spans="1:6" ht="14.45">
      <c r="A272" s="3">
        <v>10192</v>
      </c>
      <c r="B272" s="3">
        <v>799756.46</v>
      </c>
      <c r="D272">
        <v>243</v>
      </c>
      <c r="E272">
        <v>805902.42402187875</v>
      </c>
      <c r="F272">
        <v>22317.245978121297</v>
      </c>
    </row>
    <row r="273" spans="1:6" ht="14.45">
      <c r="A273" s="3">
        <v>7446</v>
      </c>
      <c r="B273" s="3">
        <v>593343</v>
      </c>
      <c r="D273">
        <v>244</v>
      </c>
      <c r="E273">
        <v>731977.54363936768</v>
      </c>
      <c r="F273">
        <v>31182.376360632363</v>
      </c>
    </row>
    <row r="274" spans="1:6" ht="14.45">
      <c r="A274" s="3">
        <v>5689</v>
      </c>
      <c r="B274" s="3">
        <v>645039.97</v>
      </c>
      <c r="D274">
        <v>245</v>
      </c>
      <c r="E274">
        <v>765158.11253692326</v>
      </c>
      <c r="F274">
        <v>36843.56746307679</v>
      </c>
    </row>
    <row r="275" spans="1:6" ht="14.45">
      <c r="A275" s="3">
        <v>3326</v>
      </c>
      <c r="B275" s="3">
        <v>561597.32999999996</v>
      </c>
      <c r="D275">
        <v>246</v>
      </c>
      <c r="E275">
        <v>757986.82829132257</v>
      </c>
      <c r="F275">
        <v>-7515.4882913226029</v>
      </c>
    </row>
    <row r="276" spans="1:6" ht="14.45">
      <c r="A276" s="3">
        <v>5767</v>
      </c>
      <c r="B276" s="3">
        <v>635837.74</v>
      </c>
      <c r="D276">
        <v>247</v>
      </c>
      <c r="E276">
        <v>709500.38406360417</v>
      </c>
      <c r="F276">
        <v>-30269.524063604185</v>
      </c>
    </row>
    <row r="277" spans="1:6" ht="14.45">
      <c r="A277" s="3">
        <v>5893</v>
      </c>
      <c r="B277" s="3">
        <v>686737.87</v>
      </c>
      <c r="D277">
        <v>248</v>
      </c>
      <c r="E277">
        <v>736080.51721272129</v>
      </c>
      <c r="F277">
        <v>-56191.777212721296</v>
      </c>
    </row>
    <row r="278" spans="1:6" ht="14.45">
      <c r="A278" s="3">
        <v>8564</v>
      </c>
      <c r="B278" s="3">
        <v>673076.34</v>
      </c>
      <c r="D278">
        <v>249</v>
      </c>
      <c r="E278">
        <v>584662.95334043517</v>
      </c>
      <c r="F278">
        <v>22120.716659564874</v>
      </c>
    </row>
    <row r="279" spans="1:6" ht="14.45">
      <c r="A279" s="3">
        <v>8001</v>
      </c>
      <c r="B279" s="3">
        <v>738548.42</v>
      </c>
      <c r="D279">
        <v>250</v>
      </c>
      <c r="E279">
        <v>652094.43206772569</v>
      </c>
      <c r="F279">
        <v>-9343.0120677256491</v>
      </c>
    </row>
    <row r="280" spans="1:6" ht="14.45">
      <c r="A280" s="3">
        <v>9324</v>
      </c>
      <c r="B280" s="3">
        <v>756619.77</v>
      </c>
      <c r="D280">
        <v>251</v>
      </c>
      <c r="E280">
        <v>671967.09537518641</v>
      </c>
      <c r="F280">
        <v>-24013.315375186387</v>
      </c>
    </row>
    <row r="281" spans="1:6" ht="14.45">
      <c r="A281" s="3">
        <v>9109</v>
      </c>
      <c r="B281" s="3">
        <v>761122.42</v>
      </c>
      <c r="D281">
        <v>252</v>
      </c>
      <c r="E281">
        <v>690448.31547081424</v>
      </c>
      <c r="F281">
        <v>38992.134529185714</v>
      </c>
    </row>
    <row r="282" spans="1:6" ht="14.45">
      <c r="A282" s="3">
        <v>4022</v>
      </c>
      <c r="B282" s="3">
        <v>524899.56999999995</v>
      </c>
      <c r="D282">
        <v>253</v>
      </c>
      <c r="E282">
        <v>688378.98966860096</v>
      </c>
      <c r="F282">
        <v>76570.01033139904</v>
      </c>
    </row>
    <row r="283" spans="1:6" ht="14.45">
      <c r="A283" s="3">
        <v>4355</v>
      </c>
      <c r="B283" s="3">
        <v>555557.77</v>
      </c>
      <c r="D283">
        <v>254</v>
      </c>
      <c r="E283">
        <v>691019.16396797635</v>
      </c>
      <c r="F283">
        <v>108027.7760320236</v>
      </c>
    </row>
    <row r="284" spans="1:6" ht="14.45">
      <c r="A284" s="3">
        <v>5745</v>
      </c>
      <c r="B284" s="3">
        <v>714083.68</v>
      </c>
      <c r="D284">
        <v>255</v>
      </c>
      <c r="E284">
        <v>647670.35621471819</v>
      </c>
      <c r="F284">
        <v>72409.183785281843</v>
      </c>
    </row>
    <row r="285" spans="1:6" ht="14.45">
      <c r="A285" s="3">
        <v>3027</v>
      </c>
      <c r="B285" s="3">
        <v>497439.82</v>
      </c>
      <c r="D285">
        <v>256</v>
      </c>
      <c r="E285">
        <v>652879.34875132376</v>
      </c>
      <c r="F285">
        <v>-40489.208751323749</v>
      </c>
    </row>
    <row r="286" spans="1:6" ht="14.45">
      <c r="A286" s="3">
        <v>5562</v>
      </c>
      <c r="B286" s="3">
        <v>636775.66</v>
      </c>
      <c r="D286">
        <v>257</v>
      </c>
      <c r="E286">
        <v>737721.70664206275</v>
      </c>
      <c r="F286">
        <v>102386.41335793724</v>
      </c>
    </row>
    <row r="287" spans="1:6" ht="14.45">
      <c r="A287" s="3">
        <v>4487</v>
      </c>
      <c r="B287" s="3">
        <v>633009.53</v>
      </c>
      <c r="D287">
        <v>258</v>
      </c>
      <c r="E287">
        <v>716635.99027813226</v>
      </c>
      <c r="F287">
        <v>-18747.900278132292</v>
      </c>
    </row>
    <row r="288" spans="1:6" ht="14.45">
      <c r="A288" s="3">
        <v>4162</v>
      </c>
      <c r="B288" s="3">
        <v>609949</v>
      </c>
      <c r="D288">
        <v>259</v>
      </c>
      <c r="E288">
        <v>754454.70321513107</v>
      </c>
      <c r="F288">
        <v>-8339.1132151311031</v>
      </c>
    </row>
    <row r="289" spans="1:6" ht="14.45">
      <c r="A289" s="3">
        <v>4094</v>
      </c>
      <c r="B289" s="3">
        <v>548103.69999999995</v>
      </c>
      <c r="D289">
        <v>260</v>
      </c>
      <c r="E289">
        <v>725983.63441916415</v>
      </c>
      <c r="F289">
        <v>50126.685580835794</v>
      </c>
    </row>
    <row r="290" spans="1:6" ht="14.45">
      <c r="A290" s="3">
        <v>8484</v>
      </c>
      <c r="B290" s="3">
        <v>729424.42</v>
      </c>
      <c r="D290">
        <v>261</v>
      </c>
      <c r="E290">
        <v>555121.54361228889</v>
      </c>
      <c r="F290">
        <v>-26268.923612288898</v>
      </c>
    </row>
    <row r="291" spans="1:6" ht="14.45">
      <c r="A291" s="3">
        <v>7794</v>
      </c>
      <c r="B291" s="3">
        <v>696261.49</v>
      </c>
      <c r="D291">
        <v>262</v>
      </c>
      <c r="E291">
        <v>617058.60555439279</v>
      </c>
      <c r="F291">
        <v>-11307.275554392836</v>
      </c>
    </row>
    <row r="292" spans="1:6" ht="14.45">
      <c r="A292" s="3">
        <v>8300</v>
      </c>
      <c r="B292" s="3">
        <v>813316.71</v>
      </c>
      <c r="D292">
        <v>263</v>
      </c>
      <c r="E292">
        <v>621304.29125203693</v>
      </c>
      <c r="F292">
        <v>56336.358747963095</v>
      </c>
    </row>
    <row r="293" spans="1:6" ht="14.45">
      <c r="A293" s="3">
        <v>7083</v>
      </c>
      <c r="B293" s="3">
        <v>702068.92</v>
      </c>
      <c r="D293">
        <v>264</v>
      </c>
      <c r="E293">
        <v>589907.62390811334</v>
      </c>
      <c r="F293">
        <v>46705.606091886642</v>
      </c>
    </row>
    <row r="294" spans="1:6" ht="14.45">
      <c r="A294" s="3">
        <v>3834</v>
      </c>
      <c r="B294" s="3">
        <v>546223.69999999995</v>
      </c>
      <c r="D294">
        <v>265</v>
      </c>
      <c r="E294">
        <v>707716.48250997218</v>
      </c>
      <c r="F294">
        <v>1268.7074900277657</v>
      </c>
    </row>
    <row r="295" spans="1:6" ht="14.45">
      <c r="A295" s="3">
        <v>2358</v>
      </c>
      <c r="B295" s="3">
        <v>533121.26</v>
      </c>
      <c r="D295">
        <v>266</v>
      </c>
      <c r="E295">
        <v>736437.29752344778</v>
      </c>
      <c r="F295">
        <v>31355.642476552166</v>
      </c>
    </row>
    <row r="296" spans="1:6" ht="14.45">
      <c r="A296" s="3">
        <v>1231</v>
      </c>
      <c r="B296" s="3">
        <v>498970.32</v>
      </c>
      <c r="D296">
        <v>267</v>
      </c>
      <c r="E296">
        <v>730728.81255182531</v>
      </c>
      <c r="F296">
        <v>14851.697448174702</v>
      </c>
    </row>
    <row r="297" spans="1:6" ht="14.45">
      <c r="A297" s="3">
        <v>1723</v>
      </c>
      <c r="B297" s="3">
        <v>487738.26</v>
      </c>
      <c r="D297">
        <v>268</v>
      </c>
      <c r="E297">
        <v>704719.52789987042</v>
      </c>
      <c r="F297">
        <v>57608.78210012964</v>
      </c>
    </row>
    <row r="298" spans="1:6" ht="14.45">
      <c r="A298" s="3">
        <v>5896</v>
      </c>
      <c r="B298" s="3">
        <v>668459.37</v>
      </c>
      <c r="D298">
        <v>269</v>
      </c>
      <c r="E298">
        <v>733690.08913085447</v>
      </c>
      <c r="F298">
        <v>-73056.099130854476</v>
      </c>
    </row>
    <row r="299" spans="1:6" ht="14.45">
      <c r="A299" s="3">
        <v>5903</v>
      </c>
      <c r="B299" s="3">
        <v>763162.45</v>
      </c>
      <c r="D299">
        <v>270</v>
      </c>
      <c r="E299">
        <v>732477.03607438458</v>
      </c>
      <c r="F299">
        <v>6897.5239256154746</v>
      </c>
    </row>
    <row r="300" spans="1:6" ht="14.45">
      <c r="A300" s="3">
        <v>4898</v>
      </c>
      <c r="B300" s="3">
        <v>599017.32999999996</v>
      </c>
      <c r="D300">
        <v>271</v>
      </c>
      <c r="E300">
        <v>810041.07562630507</v>
      </c>
      <c r="F300">
        <v>-10284.615626305109</v>
      </c>
    </row>
    <row r="301" spans="1:6" ht="14.45">
      <c r="A301" s="3">
        <v>1462</v>
      </c>
      <c r="B301" s="3">
        <v>401582.58</v>
      </c>
      <c r="D301">
        <v>272</v>
      </c>
      <c r="E301">
        <v>712069.20230083424</v>
      </c>
      <c r="F301">
        <v>-118726.20230083424</v>
      </c>
    </row>
    <row r="302" spans="1:6" ht="14.45">
      <c r="A302" s="3">
        <v>8252</v>
      </c>
      <c r="B302" s="3">
        <v>703812.99</v>
      </c>
      <c r="D302">
        <v>273</v>
      </c>
      <c r="E302">
        <v>649382.90170620498</v>
      </c>
      <c r="F302">
        <v>-4342.9317062050104</v>
      </c>
    </row>
    <row r="303" spans="1:6" ht="14.45">
      <c r="A303" s="3">
        <v>7989</v>
      </c>
      <c r="B303" s="3">
        <v>724346.73</v>
      </c>
      <c r="D303">
        <v>274</v>
      </c>
      <c r="E303">
        <v>565075.71428155561</v>
      </c>
      <c r="F303">
        <v>-3478.3842815556563</v>
      </c>
    </row>
    <row r="304" spans="1:6" ht="14.45">
      <c r="A304" s="3">
        <v>8268</v>
      </c>
      <c r="B304" s="3">
        <v>730890.01</v>
      </c>
      <c r="D304">
        <v>275</v>
      </c>
      <c r="E304">
        <v>652165.78812987101</v>
      </c>
      <c r="F304">
        <v>-16328.048129871022</v>
      </c>
    </row>
    <row r="305" spans="1:6" ht="14.45">
      <c r="A305" s="3">
        <v>8183</v>
      </c>
      <c r="B305" s="3">
        <v>780580.95</v>
      </c>
      <c r="D305">
        <v>276</v>
      </c>
      <c r="E305">
        <v>656661.2200450236</v>
      </c>
      <c r="F305">
        <v>30076.649954976398</v>
      </c>
    </row>
    <row r="306" spans="1:6" ht="14.45">
      <c r="A306" s="3">
        <v>6534</v>
      </c>
      <c r="B306" s="3">
        <v>727957.48</v>
      </c>
      <c r="D306">
        <v>277</v>
      </c>
      <c r="E306">
        <v>751957.24104004633</v>
      </c>
      <c r="F306">
        <v>-78880.901040046359</v>
      </c>
    </row>
    <row r="307" spans="1:6" ht="14.45">
      <c r="A307" s="3">
        <v>5804</v>
      </c>
      <c r="B307" s="3">
        <v>538376</v>
      </c>
      <c r="D307">
        <v>278</v>
      </c>
      <c r="E307">
        <v>731870.50954614975</v>
      </c>
      <c r="F307">
        <v>6677.910453850287</v>
      </c>
    </row>
    <row r="308" spans="1:6" ht="14.45">
      <c r="A308" s="3">
        <v>6301</v>
      </c>
      <c r="B308" s="3">
        <v>665342.49</v>
      </c>
      <c r="D308">
        <v>279</v>
      </c>
      <c r="E308">
        <v>779072.54465525306</v>
      </c>
      <c r="F308">
        <v>-22452.774655253044</v>
      </c>
    </row>
    <row r="309" spans="1:6" ht="14.45">
      <c r="A309" s="3">
        <v>6399</v>
      </c>
      <c r="B309" s="3">
        <v>651164.18000000005</v>
      </c>
      <c r="D309">
        <v>280</v>
      </c>
      <c r="E309">
        <v>771401.76797463535</v>
      </c>
      <c r="F309">
        <v>-10279.347974635311</v>
      </c>
    </row>
    <row r="310" spans="1:6" ht="14.45">
      <c r="A310" s="3">
        <v>5759</v>
      </c>
      <c r="B310" s="3">
        <v>628538.30000000005</v>
      </c>
      <c r="D310">
        <v>281</v>
      </c>
      <c r="E310">
        <v>589907.62390811334</v>
      </c>
      <c r="F310">
        <v>-65008.05390811339</v>
      </c>
    </row>
    <row r="311" spans="1:6" ht="14.45">
      <c r="A311" s="3">
        <v>5285</v>
      </c>
      <c r="B311" s="3">
        <v>536524.84</v>
      </c>
      <c r="D311">
        <v>282</v>
      </c>
      <c r="E311">
        <v>601788.40825530258</v>
      </c>
      <c r="F311">
        <v>-46230.638255302561</v>
      </c>
    </row>
    <row r="312" spans="1:6" ht="14.45">
      <c r="A312" s="3">
        <v>5434</v>
      </c>
      <c r="B312" s="3">
        <v>621677.30000000005</v>
      </c>
      <c r="D312">
        <v>283</v>
      </c>
      <c r="E312">
        <v>651380.87144627282</v>
      </c>
      <c r="F312">
        <v>62702.808553727227</v>
      </c>
    </row>
    <row r="313" spans="1:6" ht="14.45">
      <c r="A313" s="3">
        <v>7479</v>
      </c>
      <c r="B313" s="3">
        <v>771129.07</v>
      </c>
      <c r="D313">
        <v>284</v>
      </c>
      <c r="E313">
        <v>554407.98299083614</v>
      </c>
      <c r="F313">
        <v>-56968.162990836136</v>
      </c>
    </row>
    <row r="314" spans="1:6" ht="14.45">
      <c r="A314" s="3">
        <v>6164</v>
      </c>
      <c r="B314" s="3">
        <v>702052.47</v>
      </c>
      <c r="D314">
        <v>285</v>
      </c>
      <c r="E314">
        <v>644851.79175997968</v>
      </c>
      <c r="F314">
        <v>-8076.1317599796457</v>
      </c>
    </row>
    <row r="315" spans="1:6" ht="14.45">
      <c r="A315" s="3">
        <v>7973</v>
      </c>
      <c r="B315" s="3">
        <v>688368.46</v>
      </c>
      <c r="D315">
        <v>286</v>
      </c>
      <c r="E315">
        <v>606497.90835689125</v>
      </c>
      <c r="F315">
        <v>26511.621643108781</v>
      </c>
    </row>
    <row r="316" spans="1:6" ht="14.45">
      <c r="A316" s="3">
        <v>6000</v>
      </c>
      <c r="B316" s="3">
        <v>712375.77</v>
      </c>
      <c r="D316">
        <v>287</v>
      </c>
      <c r="E316">
        <v>594902.54825828306</v>
      </c>
      <c r="F316">
        <v>15046.451741716941</v>
      </c>
    </row>
    <row r="317" spans="1:6" ht="14.45">
      <c r="A317" s="3">
        <v>9967</v>
      </c>
      <c r="B317" s="3">
        <v>844710.67</v>
      </c>
      <c r="D317">
        <v>288</v>
      </c>
      <c r="E317">
        <v>592476.4421453434</v>
      </c>
      <c r="F317">
        <v>-44372.742145343451</v>
      </c>
    </row>
    <row r="318" spans="1:6" ht="14.45">
      <c r="A318" s="3">
        <v>5639</v>
      </c>
      <c r="B318" s="3">
        <v>620264.19999999995</v>
      </c>
      <c r="D318">
        <v>289</v>
      </c>
      <c r="E318">
        <v>749102.99855423509</v>
      </c>
      <c r="F318">
        <v>-19678.57855423505</v>
      </c>
    </row>
    <row r="319" spans="1:6" ht="14.45">
      <c r="A319" s="3">
        <v>3466</v>
      </c>
      <c r="B319" s="3">
        <v>536845.42000000004</v>
      </c>
      <c r="D319">
        <v>290</v>
      </c>
      <c r="E319">
        <v>724485.15711411322</v>
      </c>
      <c r="F319">
        <v>-28223.667114113225</v>
      </c>
    </row>
    <row r="320" spans="1:6" ht="14.45">
      <c r="A320" s="3">
        <v>7775</v>
      </c>
      <c r="B320" s="3">
        <v>726776.22</v>
      </c>
      <c r="D320">
        <v>291</v>
      </c>
      <c r="E320">
        <v>742538.24083686923</v>
      </c>
      <c r="F320">
        <v>70778.469163130736</v>
      </c>
    </row>
    <row r="321" spans="1:6" ht="14.45">
      <c r="A321" s="3">
        <v>5317</v>
      </c>
      <c r="B321" s="3">
        <v>559660.84</v>
      </c>
      <c r="D321">
        <v>292</v>
      </c>
      <c r="E321">
        <v>699118.07702146587</v>
      </c>
      <c r="F321">
        <v>2950.8429785341723</v>
      </c>
    </row>
    <row r="322" spans="1:6">
      <c r="D322">
        <v>293</v>
      </c>
      <c r="E322">
        <v>583200.15406645695</v>
      </c>
      <c r="F322">
        <v>-36976.454066456994</v>
      </c>
    </row>
    <row r="323" spans="1:6">
      <c r="D323">
        <v>294</v>
      </c>
      <c r="E323">
        <v>530539.38020323962</v>
      </c>
      <c r="F323">
        <v>2581.8797967603896</v>
      </c>
    </row>
    <row r="324" spans="1:6">
      <c r="D324">
        <v>295</v>
      </c>
      <c r="E324">
        <v>490330.23918437387</v>
      </c>
      <c r="F324">
        <v>8640.0808156261337</v>
      </c>
    </row>
    <row r="325" spans="1:6">
      <c r="D325">
        <v>296</v>
      </c>
      <c r="E325">
        <v>507883.83047211292</v>
      </c>
      <c r="F325">
        <v>-20145.570472112915</v>
      </c>
    </row>
    <row r="326" spans="1:6">
      <c r="D326">
        <v>297</v>
      </c>
      <c r="E326">
        <v>656768.25413824152</v>
      </c>
      <c r="F326">
        <v>11691.115861758473</v>
      </c>
    </row>
    <row r="327" spans="1:6">
      <c r="D327">
        <v>298</v>
      </c>
      <c r="E327">
        <v>657018.00035575009</v>
      </c>
      <c r="F327">
        <v>106144.44964424986</v>
      </c>
    </row>
    <row r="328" spans="1:6">
      <c r="D328">
        <v>299</v>
      </c>
      <c r="E328">
        <v>621161.5791277464</v>
      </c>
      <c r="F328">
        <v>-22144.249127746443</v>
      </c>
    </row>
    <row r="329" spans="1:6">
      <c r="D329">
        <v>300</v>
      </c>
      <c r="E329">
        <v>498571.86436215381</v>
      </c>
      <c r="F329">
        <v>-96989.28436215379</v>
      </c>
    </row>
    <row r="330" spans="1:6">
      <c r="D330">
        <v>301</v>
      </c>
      <c r="E330">
        <v>740825.69534538244</v>
      </c>
      <c r="F330">
        <v>-37012.705345382448</v>
      </c>
    </row>
    <row r="331" spans="1:6">
      <c r="D331">
        <v>302</v>
      </c>
      <c r="E331">
        <v>731442.37317327806</v>
      </c>
      <c r="F331">
        <v>-7095.6431732780766</v>
      </c>
    </row>
    <row r="332" spans="1:6">
      <c r="D332">
        <v>303</v>
      </c>
      <c r="E332">
        <v>741396.54384254478</v>
      </c>
      <c r="F332">
        <v>-10506.53384254477</v>
      </c>
    </row>
    <row r="333" spans="1:6">
      <c r="D333">
        <v>304</v>
      </c>
      <c r="E333">
        <v>738363.9112013703</v>
      </c>
      <c r="F333">
        <v>42217.038798629656</v>
      </c>
    </row>
    <row r="334" spans="1:6">
      <c r="D334">
        <v>305</v>
      </c>
      <c r="E334">
        <v>679530.8379625862</v>
      </c>
      <c r="F334">
        <v>48426.642037413782</v>
      </c>
    </row>
    <row r="335" spans="1:6">
      <c r="D335">
        <v>306</v>
      </c>
      <c r="E335">
        <v>653485.87527955859</v>
      </c>
      <c r="F335">
        <v>-115109.87527955859</v>
      </c>
    </row>
    <row r="336" spans="1:6">
      <c r="D336">
        <v>307</v>
      </c>
      <c r="E336">
        <v>671217.85672266094</v>
      </c>
      <c r="F336">
        <v>-5875.3667226609541</v>
      </c>
    </row>
    <row r="337" spans="4:6">
      <c r="D337">
        <v>308</v>
      </c>
      <c r="E337">
        <v>674714.30376777973</v>
      </c>
      <c r="F337">
        <v>-23550.123767779674</v>
      </c>
    </row>
    <row r="338" spans="4:6">
      <c r="D338">
        <v>309</v>
      </c>
      <c r="E338">
        <v>651880.36388128984</v>
      </c>
      <c r="F338">
        <v>-23342.063881289796</v>
      </c>
    </row>
    <row r="339" spans="4:6">
      <c r="D339">
        <v>310</v>
      </c>
      <c r="E339">
        <v>634968.97715285828</v>
      </c>
      <c r="F339">
        <v>-98444.137152858311</v>
      </c>
    </row>
    <row r="340" spans="4:6">
      <c r="D340">
        <v>311</v>
      </c>
      <c r="E340">
        <v>640285.00378268166</v>
      </c>
      <c r="F340">
        <v>-18607.703782681609</v>
      </c>
    </row>
    <row r="341" spans="4:6">
      <c r="D341">
        <v>312</v>
      </c>
      <c r="E341">
        <v>713246.5773262314</v>
      </c>
      <c r="F341">
        <v>57882.492673768546</v>
      </c>
    </row>
    <row r="342" spans="4:6">
      <c r="D342">
        <v>313</v>
      </c>
      <c r="E342">
        <v>666329.96646570927</v>
      </c>
      <c r="F342">
        <v>35722.503534290707</v>
      </c>
    </row>
    <row r="343" spans="4:6">
      <c r="D343">
        <v>314</v>
      </c>
      <c r="E343">
        <v>730871.52467611583</v>
      </c>
      <c r="F343">
        <v>-42503.064676115871</v>
      </c>
    </row>
    <row r="344" spans="4:6">
      <c r="D344">
        <v>315</v>
      </c>
      <c r="E344">
        <v>660478.76936979615</v>
      </c>
      <c r="F344">
        <v>51897.000630203867</v>
      </c>
    </row>
    <row r="345" spans="4:6">
      <c r="D345">
        <v>316</v>
      </c>
      <c r="E345">
        <v>802013.51863496087</v>
      </c>
      <c r="F345">
        <v>42697.151365039172</v>
      </c>
    </row>
    <row r="346" spans="4:6">
      <c r="D346">
        <v>317</v>
      </c>
      <c r="E346">
        <v>647599.00015257299</v>
      </c>
      <c r="F346">
        <v>-27334.800152573036</v>
      </c>
    </row>
    <row r="347" spans="4:6">
      <c r="D347">
        <v>318</v>
      </c>
      <c r="E347">
        <v>570070.63863172522</v>
      </c>
      <c r="F347">
        <v>-33225.218631725176</v>
      </c>
    </row>
    <row r="348" spans="4:6">
      <c r="D348">
        <v>319</v>
      </c>
      <c r="E348">
        <v>723807.27452373295</v>
      </c>
      <c r="F348">
        <v>2968.9454762670211</v>
      </c>
    </row>
    <row r="349" spans="4:6" ht="14.45" thickBot="1">
      <c r="D349" s="7">
        <v>320</v>
      </c>
      <c r="E349" s="7">
        <v>636110.67414718273</v>
      </c>
      <c r="F349" s="7">
        <v>-76449.834147182759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8966-EF2C-4AF2-BE79-15BE6584ED6E}">
  <dimension ref="A1:L349"/>
  <sheetViews>
    <sheetView topLeftCell="D4" workbookViewId="0">
      <selection activeCell="H17" sqref="H17"/>
    </sheetView>
  </sheetViews>
  <sheetFormatPr defaultRowHeight="13.9"/>
  <cols>
    <col min="1" max="1" width="14.625" customWidth="1"/>
    <col min="2" max="2" width="14.75" customWidth="1"/>
    <col min="4" max="4" width="17.375" customWidth="1"/>
    <col min="5" max="5" width="22.25" customWidth="1"/>
    <col min="6" max="6" width="12.25" customWidth="1"/>
    <col min="9" max="9" width="10.5" customWidth="1"/>
    <col min="10" max="10" width="10.125" customWidth="1"/>
    <col min="11" max="11" width="10.75" customWidth="1"/>
    <col min="12" max="12" width="11.25" customWidth="1"/>
  </cols>
  <sheetData>
    <row r="1" spans="1:9" ht="14.45">
      <c r="A1" s="2" t="s">
        <v>19</v>
      </c>
      <c r="B1" s="2" t="s">
        <v>13</v>
      </c>
    </row>
    <row r="2" spans="1:9" ht="14.45">
      <c r="A2" s="3">
        <v>70389.11</v>
      </c>
      <c r="B2" s="3">
        <v>658832.62</v>
      </c>
    </row>
    <row r="3" spans="1:9" ht="14.45">
      <c r="A3" s="3">
        <v>43827.89</v>
      </c>
      <c r="B3" s="3">
        <v>634436</v>
      </c>
    </row>
    <row r="4" spans="1:9" ht="14.45">
      <c r="A4" s="3">
        <v>59921.75</v>
      </c>
      <c r="B4" s="3">
        <v>678722.06</v>
      </c>
    </row>
    <row r="5" spans="1:9" ht="14.45">
      <c r="A5" s="3">
        <v>56856.63</v>
      </c>
      <c r="B5" s="3">
        <v>658920.30000000005</v>
      </c>
    </row>
    <row r="6" spans="1:9" ht="14.45">
      <c r="A6" s="3">
        <v>48412.639999999999</v>
      </c>
      <c r="B6" s="3">
        <v>741341.44</v>
      </c>
      <c r="D6" t="s">
        <v>143</v>
      </c>
    </row>
    <row r="7" spans="1:9" ht="15" thickBot="1">
      <c r="A7" s="3">
        <v>64811.21</v>
      </c>
      <c r="B7" s="3">
        <v>761835.34</v>
      </c>
    </row>
    <row r="8" spans="1:9" ht="14.45">
      <c r="A8" s="3">
        <v>46213.45</v>
      </c>
      <c r="B8" s="3">
        <v>806615.54</v>
      </c>
      <c r="D8" s="9" t="s">
        <v>144</v>
      </c>
      <c r="E8" s="9"/>
    </row>
    <row r="9" spans="1:9" ht="14.45">
      <c r="A9" s="3">
        <v>68148.52</v>
      </c>
      <c r="B9" s="3">
        <v>850164.26</v>
      </c>
      <c r="D9" t="s">
        <v>145</v>
      </c>
      <c r="E9">
        <v>0.40895561021322352</v>
      </c>
    </row>
    <row r="10" spans="1:9" ht="14.45">
      <c r="A10" s="3">
        <v>71838.86</v>
      </c>
      <c r="B10" s="3">
        <v>930581.7</v>
      </c>
      <c r="D10" t="s">
        <v>146</v>
      </c>
      <c r="E10">
        <v>0.16724469112487</v>
      </c>
    </row>
    <row r="11" spans="1:9" ht="14.45">
      <c r="A11" s="3">
        <v>68133.440000000002</v>
      </c>
      <c r="B11" s="3">
        <v>779010.94</v>
      </c>
      <c r="D11" t="s">
        <v>147</v>
      </c>
      <c r="E11">
        <v>0.16462596373847024</v>
      </c>
    </row>
    <row r="12" spans="1:9" ht="14.45">
      <c r="A12" s="3">
        <v>34285.21</v>
      </c>
      <c r="B12" s="3">
        <v>723060.76</v>
      </c>
      <c r="D12" t="s">
        <v>148</v>
      </c>
      <c r="E12">
        <v>94846.03383215853</v>
      </c>
    </row>
    <row r="13" spans="1:9" ht="15" thickBot="1">
      <c r="A13" s="3">
        <v>67979.88</v>
      </c>
      <c r="B13" s="3">
        <v>910791.94</v>
      </c>
      <c r="D13" s="7" t="s">
        <v>149</v>
      </c>
      <c r="E13" s="7">
        <v>320</v>
      </c>
    </row>
    <row r="14" spans="1:9" ht="14.45">
      <c r="A14" s="3">
        <v>71828.259999999995</v>
      </c>
      <c r="B14" s="3">
        <v>922168.6</v>
      </c>
    </row>
    <row r="15" spans="1:9" ht="15" thickBot="1">
      <c r="A15" s="3">
        <v>55716.82</v>
      </c>
      <c r="B15" s="3">
        <v>726606.28</v>
      </c>
      <c r="D15" t="s">
        <v>150</v>
      </c>
    </row>
    <row r="16" spans="1:9" ht="14.45">
      <c r="A16" s="3">
        <v>59909.51</v>
      </c>
      <c r="B16" s="3">
        <v>746501.09</v>
      </c>
      <c r="D16" s="8"/>
      <c r="E16" s="8" t="s">
        <v>151</v>
      </c>
      <c r="F16" s="8" t="s">
        <v>152</v>
      </c>
      <c r="G16" s="8" t="s">
        <v>153</v>
      </c>
      <c r="H16" s="8" t="s">
        <v>154</v>
      </c>
      <c r="I16" s="8" t="s">
        <v>155</v>
      </c>
    </row>
    <row r="17" spans="1:12" ht="14.45">
      <c r="A17" s="3">
        <v>75305.710000000006</v>
      </c>
      <c r="B17" s="3">
        <v>834017.02</v>
      </c>
      <c r="D17" t="s">
        <v>156</v>
      </c>
      <c r="E17">
        <v>1</v>
      </c>
      <c r="F17">
        <v>574513714277.01416</v>
      </c>
      <c r="G17">
        <v>574513714277.01416</v>
      </c>
      <c r="H17">
        <v>63.864872683367629</v>
      </c>
      <c r="I17">
        <v>2.4800615101359619E-14</v>
      </c>
    </row>
    <row r="18" spans="1:12" ht="14.45">
      <c r="A18" s="3">
        <v>48804.22</v>
      </c>
      <c r="B18" s="3">
        <v>666152.52</v>
      </c>
      <c r="D18" t="s">
        <v>157</v>
      </c>
      <c r="E18">
        <v>318</v>
      </c>
      <c r="F18">
        <v>2860654902513.7251</v>
      </c>
      <c r="G18">
        <v>8995770133.6909599</v>
      </c>
    </row>
    <row r="19" spans="1:12" ht="15" thickBot="1">
      <c r="A19" s="3">
        <v>59117.9</v>
      </c>
      <c r="B19" s="3">
        <v>573155.18999999994</v>
      </c>
      <c r="D19" s="7" t="s">
        <v>158</v>
      </c>
      <c r="E19" s="7">
        <v>319</v>
      </c>
      <c r="F19" s="7">
        <v>3435168616790.7393</v>
      </c>
      <c r="G19" s="7"/>
      <c r="H19" s="7"/>
      <c r="I19" s="7"/>
    </row>
    <row r="20" spans="1:12" ht="15" thickBot="1">
      <c r="A20" s="3">
        <v>78831.12</v>
      </c>
      <c r="B20" s="3">
        <v>666573.19999999995</v>
      </c>
    </row>
    <row r="21" spans="1:12" ht="14.45">
      <c r="A21" s="3">
        <v>41441.93</v>
      </c>
      <c r="B21" s="3">
        <v>591619.94999999995</v>
      </c>
      <c r="D21" s="8"/>
      <c r="E21" s="8" t="s">
        <v>159</v>
      </c>
      <c r="F21" s="8" t="s">
        <v>148</v>
      </c>
      <c r="G21" s="8" t="s">
        <v>160</v>
      </c>
      <c r="H21" s="8" t="s">
        <v>7</v>
      </c>
      <c r="I21" s="8" t="s">
        <v>161</v>
      </c>
      <c r="J21" s="8" t="s">
        <v>162</v>
      </c>
      <c r="K21" s="8" t="s">
        <v>163</v>
      </c>
      <c r="L21" s="8" t="s">
        <v>164</v>
      </c>
    </row>
    <row r="22" spans="1:12" ht="14.45">
      <c r="A22" s="3">
        <v>30356.28</v>
      </c>
      <c r="B22" s="3">
        <v>415721.82</v>
      </c>
      <c r="D22" t="s">
        <v>165</v>
      </c>
      <c r="E22">
        <v>560777.34544943704</v>
      </c>
      <c r="F22">
        <v>15906.905953068674</v>
      </c>
      <c r="G22">
        <v>35.253703460870398</v>
      </c>
      <c r="H22">
        <v>6.952876876284135E-112</v>
      </c>
      <c r="I22">
        <v>529481.27234763221</v>
      </c>
      <c r="J22">
        <v>592073.41855124186</v>
      </c>
      <c r="K22">
        <v>529481.27234763221</v>
      </c>
      <c r="L22">
        <v>592073.41855124186</v>
      </c>
    </row>
    <row r="23" spans="1:12" ht="15" thickBot="1">
      <c r="A23" s="3">
        <v>33518.879999999997</v>
      </c>
      <c r="B23" s="3">
        <v>491905.13</v>
      </c>
      <c r="D23" s="7" t="s">
        <v>19</v>
      </c>
      <c r="E23" s="7">
        <v>2.1295753275898281</v>
      </c>
      <c r="F23" s="7">
        <v>0.26647838106932348</v>
      </c>
      <c r="G23" s="7">
        <v>7.991550080138869</v>
      </c>
      <c r="H23" s="7">
        <v>2.4800615101360068E-14</v>
      </c>
      <c r="I23" s="7">
        <v>1.6052919176921738</v>
      </c>
      <c r="J23" s="7">
        <v>2.6538587374874822</v>
      </c>
      <c r="K23" s="7">
        <v>1.6052919176921738</v>
      </c>
      <c r="L23" s="7">
        <v>2.6538587374874822</v>
      </c>
    </row>
    <row r="24" spans="1:12" ht="14.45">
      <c r="A24" s="3">
        <v>42267.37</v>
      </c>
      <c r="B24" s="3">
        <v>555929.4</v>
      </c>
    </row>
    <row r="25" spans="1:12" ht="14.45">
      <c r="A25" s="3">
        <v>62060.43</v>
      </c>
      <c r="B25" s="3">
        <v>565810.99</v>
      </c>
    </row>
    <row r="26" spans="1:12" ht="14.45">
      <c r="A26" s="3">
        <v>57696.69</v>
      </c>
      <c r="B26" s="3">
        <v>811771.14</v>
      </c>
    </row>
    <row r="27" spans="1:12" ht="14.45">
      <c r="A27" s="3">
        <v>172415.52</v>
      </c>
      <c r="B27" s="3">
        <v>800451.94</v>
      </c>
      <c r="D27" t="s">
        <v>166</v>
      </c>
    </row>
    <row r="28" spans="1:12" ht="15" thickBot="1">
      <c r="A28" s="3">
        <v>55270.52</v>
      </c>
      <c r="B28" s="3">
        <v>783672.82</v>
      </c>
    </row>
    <row r="29" spans="1:12" ht="14.45">
      <c r="A29" s="3">
        <v>52715.1</v>
      </c>
      <c r="B29" s="3">
        <v>701641.97</v>
      </c>
      <c r="D29" s="8" t="s">
        <v>167</v>
      </c>
      <c r="E29" s="8" t="s">
        <v>168</v>
      </c>
      <c r="F29" s="8" t="s">
        <v>169</v>
      </c>
    </row>
    <row r="30" spans="1:12" ht="14.45">
      <c r="A30" s="3">
        <v>68600.62</v>
      </c>
      <c r="B30" s="3">
        <v>511844.41</v>
      </c>
      <c r="D30">
        <v>1</v>
      </c>
      <c r="E30">
        <v>710676.25743644347</v>
      </c>
      <c r="F30">
        <v>-51843.637436443474</v>
      </c>
    </row>
    <row r="31" spans="1:12" ht="14.45">
      <c r="A31" s="3">
        <v>63176.73</v>
      </c>
      <c r="B31" s="3">
        <v>537383.79</v>
      </c>
      <c r="D31">
        <v>2</v>
      </c>
      <c r="E31">
        <v>654112.13865375798</v>
      </c>
      <c r="F31">
        <v>-19676.138653757982</v>
      </c>
    </row>
    <row r="32" spans="1:12" ht="14.45">
      <c r="A32" s="3">
        <v>44970.080000000002</v>
      </c>
      <c r="B32" s="3">
        <v>500173.02</v>
      </c>
      <c r="D32">
        <v>3</v>
      </c>
      <c r="E32">
        <v>688385.22583544278</v>
      </c>
      <c r="F32">
        <v>-9663.16583544272</v>
      </c>
    </row>
    <row r="33" spans="1:6" ht="14.45">
      <c r="A33" s="3">
        <v>69816.350000000006</v>
      </c>
      <c r="B33" s="3">
        <v>427917.38</v>
      </c>
      <c r="D33">
        <v>4</v>
      </c>
      <c r="E33">
        <v>681857.82190734067</v>
      </c>
      <c r="F33">
        <v>-22937.521907340619</v>
      </c>
    </row>
    <row r="34" spans="1:6" ht="14.45">
      <c r="A34" s="3">
        <v>54597.83</v>
      </c>
      <c r="B34" s="3">
        <v>641865.03</v>
      </c>
      <c r="D34">
        <v>5</v>
      </c>
      <c r="E34">
        <v>663875.7091369254</v>
      </c>
      <c r="F34">
        <v>77465.730863074539</v>
      </c>
    </row>
    <row r="35" spans="1:6" ht="14.45">
      <c r="A35" s="3">
        <v>73771.91</v>
      </c>
      <c r="B35" s="3">
        <v>799477.76000000001</v>
      </c>
      <c r="D35">
        <v>6</v>
      </c>
      <c r="E35">
        <v>698797.69921668014</v>
      </c>
      <c r="F35">
        <v>63037.640783319832</v>
      </c>
    </row>
    <row r="36" spans="1:6" ht="14.45">
      <c r="A36" s="3">
        <v>74413.88</v>
      </c>
      <c r="B36" s="3">
        <v>798952.17</v>
      </c>
      <c r="D36">
        <v>7</v>
      </c>
      <c r="E36">
        <v>659192.36837224313</v>
      </c>
      <c r="F36">
        <v>147423.17162775691</v>
      </c>
    </row>
    <row r="37" spans="1:6" ht="14.45">
      <c r="A37" s="3">
        <v>52483.77</v>
      </c>
      <c r="B37" s="3">
        <v>800979.78</v>
      </c>
      <c r="D37">
        <v>8</v>
      </c>
      <c r="E37">
        <v>705904.752253199</v>
      </c>
      <c r="F37">
        <v>144259.50774680101</v>
      </c>
    </row>
    <row r="38" spans="1:6" ht="14.45">
      <c r="A38" s="3">
        <v>75269.87</v>
      </c>
      <c r="B38" s="3">
        <v>820593.93</v>
      </c>
      <c r="D38">
        <v>9</v>
      </c>
      <c r="E38">
        <v>713763.60926761688</v>
      </c>
      <c r="F38">
        <v>216818.09073238308</v>
      </c>
    </row>
    <row r="39" spans="1:6" ht="14.45">
      <c r="A39" s="3">
        <v>61245.41</v>
      </c>
      <c r="B39" s="3">
        <v>718330.53</v>
      </c>
      <c r="D39">
        <v>10</v>
      </c>
      <c r="E39">
        <v>705872.63825725892</v>
      </c>
      <c r="F39">
        <v>73138.301742741023</v>
      </c>
    </row>
    <row r="40" spans="1:6" ht="14.45">
      <c r="A40" s="3">
        <v>93381.26</v>
      </c>
      <c r="B40" s="3">
        <v>736633.4</v>
      </c>
      <c r="D40">
        <v>11</v>
      </c>
      <c r="E40">
        <v>633790.28276667313</v>
      </c>
      <c r="F40">
        <v>89270.477233326877</v>
      </c>
    </row>
    <row r="41" spans="1:6" ht="14.45">
      <c r="A41" s="3">
        <v>65012.19</v>
      </c>
      <c r="B41" s="3">
        <v>828623.85</v>
      </c>
      <c r="D41">
        <v>12</v>
      </c>
      <c r="E41">
        <v>705545.62066995422</v>
      </c>
      <c r="F41">
        <v>205246.31933004572</v>
      </c>
    </row>
    <row r="42" spans="1:6" ht="14.45">
      <c r="A42" s="3">
        <v>40462.94</v>
      </c>
      <c r="B42" s="3">
        <v>592195.85</v>
      </c>
      <c r="D42">
        <v>13</v>
      </c>
      <c r="E42">
        <v>713741.03576914431</v>
      </c>
      <c r="F42">
        <v>208427.56423085567</v>
      </c>
    </row>
    <row r="43" spans="1:6" ht="14.45">
      <c r="A43" s="3">
        <v>46123.88</v>
      </c>
      <c r="B43" s="3">
        <v>532644.46</v>
      </c>
      <c r="D43">
        <v>14</v>
      </c>
      <c r="E43">
        <v>679430.51065320056</v>
      </c>
      <c r="F43">
        <v>47175.769346799469</v>
      </c>
    </row>
    <row r="44" spans="1:6" ht="14.45">
      <c r="A44" s="3">
        <v>68077.539999999994</v>
      </c>
      <c r="B44" s="3">
        <v>657429.18000000005</v>
      </c>
      <c r="D44">
        <v>15</v>
      </c>
      <c r="E44">
        <v>688359.15983343311</v>
      </c>
      <c r="F44">
        <v>58141.930166566861</v>
      </c>
    </row>
    <row r="45" spans="1:6" ht="14.45">
      <c r="A45" s="3">
        <v>64882.14</v>
      </c>
      <c r="B45" s="3">
        <v>605178</v>
      </c>
      <c r="D45">
        <v>16</v>
      </c>
      <c r="E45">
        <v>721146.52749207162</v>
      </c>
      <c r="F45">
        <v>112870.4925079284</v>
      </c>
    </row>
    <row r="46" spans="1:6" ht="14.45">
      <c r="A46" s="3">
        <v>138855.51</v>
      </c>
      <c r="B46" s="3">
        <v>595467.6</v>
      </c>
      <c r="D46">
        <v>17</v>
      </c>
      <c r="E46">
        <v>664709.60824370314</v>
      </c>
      <c r="F46">
        <v>1442.911756296875</v>
      </c>
    </row>
    <row r="47" spans="1:6" ht="14.45">
      <c r="A47" s="3">
        <v>63630.21</v>
      </c>
      <c r="B47" s="3">
        <v>599603.4</v>
      </c>
      <c r="D47">
        <v>18</v>
      </c>
      <c r="E47">
        <v>686673.36670835968</v>
      </c>
      <c r="F47">
        <v>-113518.17670835974</v>
      </c>
    </row>
    <row r="48" spans="1:6" ht="14.45">
      <c r="A48" s="3">
        <v>50043.65</v>
      </c>
      <c r="B48" s="3">
        <v>614800.09</v>
      </c>
      <c r="D48">
        <v>19</v>
      </c>
      <c r="E48">
        <v>728654.1536477101</v>
      </c>
      <c r="F48">
        <v>-62080.95364771015</v>
      </c>
    </row>
    <row r="49" spans="1:6" ht="14.45">
      <c r="A49" s="3">
        <v>42093.84</v>
      </c>
      <c r="B49" s="3">
        <v>585365.73</v>
      </c>
      <c r="D49">
        <v>20</v>
      </c>
      <c r="E49">
        <v>649031.05710514181</v>
      </c>
      <c r="F49">
        <v>-57411.107105141855</v>
      </c>
    </row>
    <row r="50" spans="1:6" ht="14.45">
      <c r="A50" s="3">
        <v>46624.05</v>
      </c>
      <c r="B50" s="3">
        <v>622811.74</v>
      </c>
      <c r="D50">
        <v>21</v>
      </c>
      <c r="E50">
        <v>625423.33037484554</v>
      </c>
      <c r="F50">
        <v>-209701.51037484553</v>
      </c>
    </row>
    <row r="51" spans="1:6" ht="14.45">
      <c r="A51" s="3">
        <v>49710.29</v>
      </c>
      <c r="B51" s="3">
        <v>603297.56999999995</v>
      </c>
      <c r="D51">
        <v>22</v>
      </c>
      <c r="E51">
        <v>632158.32530588121</v>
      </c>
      <c r="F51">
        <v>-140253.19530588121</v>
      </c>
    </row>
    <row r="52" spans="1:6" ht="14.45">
      <c r="A52" s="3">
        <v>48287.85</v>
      </c>
      <c r="B52" s="3">
        <v>625672.86</v>
      </c>
      <c r="D52">
        <v>23</v>
      </c>
      <c r="E52">
        <v>650788.89376354753</v>
      </c>
      <c r="F52">
        <v>-94859.493763547507</v>
      </c>
    </row>
    <row r="53" spans="1:6" ht="14.45">
      <c r="A53" s="3">
        <v>65312.49</v>
      </c>
      <c r="B53" s="3">
        <v>773815.14</v>
      </c>
      <c r="D53">
        <v>24</v>
      </c>
      <c r="E53">
        <v>692939.7059970526</v>
      </c>
      <c r="F53">
        <v>-127128.71599705261</v>
      </c>
    </row>
    <row r="54" spans="1:6" ht="14.45">
      <c r="A54" s="3">
        <v>53015.46</v>
      </c>
      <c r="B54" s="3">
        <v>463534.25</v>
      </c>
      <c r="D54">
        <v>25</v>
      </c>
      <c r="E54">
        <v>683646.79295703582</v>
      </c>
      <c r="F54">
        <v>128124.34704296419</v>
      </c>
    </row>
    <row r="55" spans="1:6" ht="14.45">
      <c r="A55" s="3">
        <v>99874.01</v>
      </c>
      <c r="B55" s="3">
        <v>746677.75</v>
      </c>
      <c r="D55">
        <v>26</v>
      </c>
      <c r="E55">
        <v>927949.18293500762</v>
      </c>
      <c r="F55">
        <v>-127497.24293500767</v>
      </c>
    </row>
    <row r="56" spans="1:6" ht="14.45">
      <c r="A56" s="3">
        <v>81195.5</v>
      </c>
      <c r="B56" s="3">
        <v>720852.5</v>
      </c>
      <c r="D56">
        <v>27</v>
      </c>
      <c r="E56">
        <v>678480.08118449722</v>
      </c>
      <c r="F56">
        <v>105192.73881550273</v>
      </c>
    </row>
    <row r="57" spans="1:6" ht="14.45">
      <c r="A57" s="3">
        <v>27808.6</v>
      </c>
      <c r="B57" s="3">
        <v>487464.91</v>
      </c>
      <c r="D57">
        <v>28</v>
      </c>
      <c r="E57">
        <v>673038.12180086761</v>
      </c>
      <c r="F57">
        <v>28603.848199132364</v>
      </c>
    </row>
    <row r="58" spans="1:6" ht="14.45">
      <c r="A58" s="3">
        <v>19365.060000000001</v>
      </c>
      <c r="B58" s="3">
        <v>518049.26</v>
      </c>
      <c r="D58">
        <v>29</v>
      </c>
      <c r="E58">
        <v>706867.53325880237</v>
      </c>
      <c r="F58">
        <v>-195023.1232588024</v>
      </c>
    </row>
    <row r="59" spans="1:6" ht="14.45">
      <c r="A59" s="3">
        <v>59405.68</v>
      </c>
      <c r="B59" s="3">
        <v>500298.48</v>
      </c>
      <c r="D59">
        <v>30</v>
      </c>
      <c r="E59">
        <v>695316.95093524118</v>
      </c>
      <c r="F59">
        <v>-157933.16093524115</v>
      </c>
    </row>
    <row r="60" spans="1:6" ht="14.45">
      <c r="A60" s="3">
        <v>118910.48</v>
      </c>
      <c r="B60" s="3">
        <v>617291.15</v>
      </c>
      <c r="D60">
        <v>31</v>
      </c>
      <c r="E60">
        <v>656544.51829717786</v>
      </c>
      <c r="F60">
        <v>-156371.49829717784</v>
      </c>
    </row>
    <row r="61" spans="1:6" ht="14.45">
      <c r="A61" s="3">
        <v>52952.12</v>
      </c>
      <c r="B61" s="3">
        <v>553756.43000000005</v>
      </c>
      <c r="D61">
        <v>32</v>
      </c>
      <c r="E61">
        <v>709456.52187181311</v>
      </c>
      <c r="F61">
        <v>-281539.1418718131</v>
      </c>
    </row>
    <row r="62" spans="1:6" ht="14.45">
      <c r="A62" s="3">
        <v>74907.98</v>
      </c>
      <c r="B62" s="3">
        <v>749559.71</v>
      </c>
      <c r="D62">
        <v>33</v>
      </c>
      <c r="E62">
        <v>677047.53715738084</v>
      </c>
      <c r="F62">
        <v>-35182.507157380809</v>
      </c>
    </row>
    <row r="63" spans="1:6" ht="14.45">
      <c r="A63" s="3">
        <v>37284.660000000003</v>
      </c>
      <c r="B63" s="3">
        <v>615966.48</v>
      </c>
      <c r="D63">
        <v>34</v>
      </c>
      <c r="E63">
        <v>717880.18485461432</v>
      </c>
      <c r="F63">
        <v>81597.575145385694</v>
      </c>
    </row>
    <row r="64" spans="1:6" ht="14.45">
      <c r="A64" s="3">
        <v>50343.19</v>
      </c>
      <c r="B64" s="3">
        <v>572011.19999999995</v>
      </c>
      <c r="D64">
        <v>35</v>
      </c>
      <c r="E64">
        <v>719247.30832766718</v>
      </c>
      <c r="F64">
        <v>79704.86167233286</v>
      </c>
    </row>
    <row r="65" spans="1:6" ht="14.45">
      <c r="A65" s="3">
        <v>74954.47</v>
      </c>
      <c r="B65" s="3">
        <v>761860.19</v>
      </c>
      <c r="D65">
        <v>36</v>
      </c>
      <c r="E65">
        <v>672545.48714033619</v>
      </c>
      <c r="F65">
        <v>128434.29285966384</v>
      </c>
    </row>
    <row r="66" spans="1:6" ht="14.45">
      <c r="A66" s="3">
        <v>70040.31</v>
      </c>
      <c r="B66" s="3">
        <v>784502.68</v>
      </c>
      <c r="D66">
        <v>37</v>
      </c>
      <c r="E66">
        <v>721070.20351233077</v>
      </c>
      <c r="F66">
        <v>99523.726487669279</v>
      </c>
    </row>
    <row r="67" spans="1:6" ht="14.45">
      <c r="A67" s="3">
        <v>51148.69</v>
      </c>
      <c r="B67" s="3">
        <v>717141.55</v>
      </c>
      <c r="D67">
        <v>38</v>
      </c>
      <c r="E67">
        <v>691204.05951356038</v>
      </c>
      <c r="F67">
        <v>27126.470486439648</v>
      </c>
    </row>
    <row r="68" spans="1:6" ht="14.45">
      <c r="A68" s="3">
        <v>79346.100000000006</v>
      </c>
      <c r="B68" s="3">
        <v>685379.08</v>
      </c>
      <c r="D68">
        <v>39</v>
      </c>
      <c r="E68">
        <v>759639.77280468796</v>
      </c>
      <c r="F68">
        <v>-23006.372804687941</v>
      </c>
    </row>
    <row r="69" spans="1:6" ht="14.45">
      <c r="A69" s="3">
        <v>42018.400000000001</v>
      </c>
      <c r="B69" s="3">
        <v>740496.65</v>
      </c>
      <c r="D69">
        <v>40</v>
      </c>
      <c r="E69">
        <v>699225.70126601914</v>
      </c>
      <c r="F69">
        <v>129398.14873398084</v>
      </c>
    </row>
    <row r="70" spans="1:6" ht="14.45">
      <c r="A70" s="3">
        <v>70937.240000000005</v>
      </c>
      <c r="B70" s="3">
        <v>661927.14</v>
      </c>
      <c r="D70">
        <v>41</v>
      </c>
      <c r="E70">
        <v>646946.22415518458</v>
      </c>
      <c r="F70">
        <v>-54750.374155184603</v>
      </c>
    </row>
    <row r="71" spans="1:6" ht="14.45">
      <c r="A71" s="3">
        <v>36813.449999999997</v>
      </c>
      <c r="B71" s="3">
        <v>479050.5</v>
      </c>
      <c r="D71">
        <v>42</v>
      </c>
      <c r="E71">
        <v>659001.622310151</v>
      </c>
      <c r="F71">
        <v>-126357.16231015103</v>
      </c>
    </row>
    <row r="72" spans="1:6" ht="14.45">
      <c r="A72" s="3">
        <v>60571.82</v>
      </c>
      <c r="B72" s="3">
        <v>605023.87</v>
      </c>
      <c r="D72">
        <v>43</v>
      </c>
      <c r="E72">
        <v>705753.59499644663</v>
      </c>
      <c r="F72">
        <v>-48324.414996446576</v>
      </c>
    </row>
    <row r="73" spans="1:6" ht="14.45">
      <c r="A73" s="3">
        <v>55081.16</v>
      </c>
      <c r="B73" s="3">
        <v>674774.09</v>
      </c>
      <c r="D73">
        <v>44</v>
      </c>
      <c r="E73">
        <v>698948.74999466608</v>
      </c>
      <c r="F73">
        <v>-93770.749994666083</v>
      </c>
    </row>
    <row r="74" spans="1:6" ht="14.45">
      <c r="A74" s="3">
        <v>46201.46</v>
      </c>
      <c r="B74" s="3">
        <v>616069.41</v>
      </c>
      <c r="D74">
        <v>45</v>
      </c>
      <c r="E74">
        <v>856480.61364533973</v>
      </c>
      <c r="F74">
        <v>-261013.01364533976</v>
      </c>
    </row>
    <row r="75" spans="1:6" ht="14.45">
      <c r="A75" s="3">
        <v>53762.92</v>
      </c>
      <c r="B75" s="3">
        <v>630829.93999999994</v>
      </c>
      <c r="D75">
        <v>46</v>
      </c>
      <c r="E75">
        <v>696282.67075479659</v>
      </c>
      <c r="F75">
        <v>-96679.270754796569</v>
      </c>
    </row>
    <row r="76" spans="1:6" ht="14.45">
      <c r="A76" s="3">
        <v>70144.78</v>
      </c>
      <c r="B76" s="3">
        <v>788087.68</v>
      </c>
      <c r="D76">
        <v>47</v>
      </c>
      <c r="E76">
        <v>667349.06779197778</v>
      </c>
      <c r="F76">
        <v>-52548.977791977813</v>
      </c>
    </row>
    <row r="77" spans="1:6" ht="14.45">
      <c r="A77" s="3">
        <v>58749.63</v>
      </c>
      <c r="B77" s="3">
        <v>680840.36</v>
      </c>
      <c r="D77">
        <v>48</v>
      </c>
      <c r="E77">
        <v>650419.3485569508</v>
      </c>
      <c r="F77">
        <v>-65053.618556950823</v>
      </c>
    </row>
    <row r="78" spans="1:6" ht="14.45">
      <c r="A78" s="3">
        <v>56973.18</v>
      </c>
      <c r="B78" s="3">
        <v>643657.47</v>
      </c>
      <c r="D78">
        <v>49</v>
      </c>
      <c r="E78">
        <v>660066.77200175158</v>
      </c>
      <c r="F78">
        <v>-37255.032001751591</v>
      </c>
    </row>
    <row r="79" spans="1:6" ht="14.45">
      <c r="A79" s="3">
        <v>54872.82</v>
      </c>
      <c r="B79" s="3">
        <v>691112.6</v>
      </c>
      <c r="D79">
        <v>50</v>
      </c>
      <c r="E79">
        <v>666639.15256077237</v>
      </c>
      <c r="F79">
        <v>-63341.582560772425</v>
      </c>
    </row>
    <row r="80" spans="1:6" ht="14.45">
      <c r="A80" s="3">
        <v>80562.81</v>
      </c>
      <c r="B80" s="3">
        <v>776922.17</v>
      </c>
      <c r="D80">
        <v>51</v>
      </c>
      <c r="E80">
        <v>663609.95943179552</v>
      </c>
      <c r="F80">
        <v>-37937.099431795534</v>
      </c>
    </row>
    <row r="81" spans="1:6" ht="14.45">
      <c r="A81" s="3">
        <v>77999.899999999994</v>
      </c>
      <c r="B81" s="3">
        <v>636561.34</v>
      </c>
      <c r="D81">
        <v>52</v>
      </c>
      <c r="E81">
        <v>699865.21273689438</v>
      </c>
      <c r="F81">
        <v>73949.927263105637</v>
      </c>
    </row>
    <row r="82" spans="1:6" ht="14.45">
      <c r="A82" s="3">
        <v>60881.01</v>
      </c>
      <c r="B82" s="3">
        <v>621369.57999999996</v>
      </c>
      <c r="D82">
        <v>53</v>
      </c>
      <c r="E82">
        <v>673677.76104626246</v>
      </c>
      <c r="F82">
        <v>-210143.51104626246</v>
      </c>
    </row>
    <row r="83" spans="1:6" ht="14.45">
      <c r="A83" s="3">
        <v>60628.38</v>
      </c>
      <c r="B83" s="3">
        <v>682208.01</v>
      </c>
      <c r="D83">
        <v>54</v>
      </c>
      <c r="E83">
        <v>773466.57301289681</v>
      </c>
      <c r="F83">
        <v>-26788.823012896813</v>
      </c>
    </row>
    <row r="84" spans="1:6" ht="14.45">
      <c r="A84" s="3">
        <v>72731.14</v>
      </c>
      <c r="B84" s="3">
        <v>727241.86</v>
      </c>
      <c r="D84">
        <v>55</v>
      </c>
      <c r="E84">
        <v>733689.27896075696</v>
      </c>
      <c r="F84">
        <v>-12836.778960756958</v>
      </c>
    </row>
    <row r="85" spans="1:6" ht="14.45">
      <c r="A85" s="3">
        <v>36475.71</v>
      </c>
      <c r="B85" s="3">
        <v>569100.78</v>
      </c>
      <c r="D85">
        <v>56</v>
      </c>
      <c r="E85">
        <v>619997.85390425147</v>
      </c>
      <c r="F85">
        <v>-132532.9439042515</v>
      </c>
    </row>
    <row r="86" spans="1:6" ht="14.45">
      <c r="A86" s="3">
        <v>55388.11</v>
      </c>
      <c r="B86" s="3">
        <v>574436.29</v>
      </c>
      <c r="D86">
        <v>57</v>
      </c>
      <c r="E86">
        <v>602016.69944273378</v>
      </c>
      <c r="F86">
        <v>-83967.439442733768</v>
      </c>
    </row>
    <row r="87" spans="1:6" ht="14.45">
      <c r="A87" s="3">
        <v>88443.77</v>
      </c>
      <c r="B87" s="3">
        <v>611766.72</v>
      </c>
      <c r="D87">
        <v>58</v>
      </c>
      <c r="E87">
        <v>687286.21589613357</v>
      </c>
      <c r="F87">
        <v>-186987.73589613358</v>
      </c>
    </row>
    <row r="88" spans="1:6" ht="14.45">
      <c r="A88" s="3">
        <v>78231.91</v>
      </c>
      <c r="B88" s="3">
        <v>614596.31999999995</v>
      </c>
      <c r="D88">
        <v>59</v>
      </c>
      <c r="E88">
        <v>814006.16984930076</v>
      </c>
      <c r="F88">
        <v>-196715.01984930073</v>
      </c>
    </row>
    <row r="89" spans="1:6" ht="14.45">
      <c r="A89" s="3">
        <v>18996.32</v>
      </c>
      <c r="B89" s="3">
        <v>450711.92</v>
      </c>
      <c r="D89">
        <v>60</v>
      </c>
      <c r="E89">
        <v>673542.87374501291</v>
      </c>
      <c r="F89">
        <v>-119786.44374501286</v>
      </c>
    </row>
    <row r="90" spans="1:6" ht="14.45">
      <c r="A90" s="3">
        <v>50517.94</v>
      </c>
      <c r="B90" s="3">
        <v>711213.46</v>
      </c>
      <c r="D90">
        <v>61</v>
      </c>
      <c r="E90">
        <v>720299.53149702935</v>
      </c>
      <c r="F90">
        <v>29260.178502970608</v>
      </c>
    </row>
    <row r="91" spans="1:6" ht="14.45">
      <c r="A91" s="3">
        <v>141540.29</v>
      </c>
      <c r="B91" s="3">
        <v>627171.9</v>
      </c>
      <c r="D91">
        <v>62</v>
      </c>
      <c r="E91">
        <v>640177.83748301235</v>
      </c>
      <c r="F91">
        <v>-24211.357483012369</v>
      </c>
    </row>
    <row r="92" spans="1:6" ht="14.45">
      <c r="A92" s="3">
        <v>82116.19</v>
      </c>
      <c r="B92" s="3">
        <v>739852.58</v>
      </c>
      <c r="D92">
        <v>63</v>
      </c>
      <c r="E92">
        <v>667986.96078560397</v>
      </c>
      <c r="F92">
        <v>-95975.760785604012</v>
      </c>
    </row>
    <row r="93" spans="1:6" ht="14.45">
      <c r="A93" s="3">
        <v>31207.51</v>
      </c>
      <c r="B93" s="3">
        <v>586307.22</v>
      </c>
      <c r="D93">
        <v>64</v>
      </c>
      <c r="E93">
        <v>720398.53545400896</v>
      </c>
      <c r="F93">
        <v>41461.654545990983</v>
      </c>
    </row>
    <row r="94" spans="1:6" ht="14.45">
      <c r="A94" s="3">
        <v>38966.589999999997</v>
      </c>
      <c r="B94" s="3">
        <v>585937.48</v>
      </c>
      <c r="D94">
        <v>65</v>
      </c>
      <c r="E94">
        <v>709933.46156218019</v>
      </c>
      <c r="F94">
        <v>74569.218437819858</v>
      </c>
    </row>
    <row r="95" spans="1:6" ht="14.45">
      <c r="A95" s="3">
        <v>67439.3</v>
      </c>
      <c r="B95" s="3">
        <v>753473.55</v>
      </c>
      <c r="D95">
        <v>66</v>
      </c>
      <c r="E95">
        <v>669702.33371197758</v>
      </c>
      <c r="F95">
        <v>47439.216288022464</v>
      </c>
    </row>
    <row r="96" spans="1:6" ht="14.45">
      <c r="A96" s="3">
        <v>86421.88</v>
      </c>
      <c r="B96" s="3">
        <v>838250.32</v>
      </c>
      <c r="D96">
        <v>67</v>
      </c>
      <c r="E96">
        <v>729750.84234991227</v>
      </c>
      <c r="F96">
        <v>-44371.762349912315</v>
      </c>
    </row>
    <row r="97" spans="1:6" ht="14.45">
      <c r="A97" s="3">
        <v>9534.65</v>
      </c>
      <c r="B97" s="3">
        <v>607898.12</v>
      </c>
      <c r="D97">
        <v>68</v>
      </c>
      <c r="E97">
        <v>650258.69339423743</v>
      </c>
      <c r="F97">
        <v>90237.956605762593</v>
      </c>
    </row>
    <row r="98" spans="1:6" ht="14.45">
      <c r="A98" s="3">
        <v>61132.07</v>
      </c>
      <c r="B98" s="3">
        <v>691113.62</v>
      </c>
      <c r="D98">
        <v>69</v>
      </c>
      <c r="E98">
        <v>711843.54156075534</v>
      </c>
      <c r="F98">
        <v>-49916.40156075533</v>
      </c>
    </row>
    <row r="99" spans="1:6" ht="14.45">
      <c r="A99" s="3">
        <v>78839.39</v>
      </c>
      <c r="B99" s="3">
        <v>735509.4</v>
      </c>
      <c r="D99">
        <v>70</v>
      </c>
      <c r="E99">
        <v>639174.36029289884</v>
      </c>
      <c r="F99">
        <v>-160123.86029289884</v>
      </c>
    </row>
    <row r="100" spans="1:6" ht="14.45">
      <c r="A100" s="3">
        <v>38752.800000000003</v>
      </c>
      <c r="B100" s="3">
        <v>605775.32999999996</v>
      </c>
      <c r="D100">
        <v>71</v>
      </c>
      <c r="E100">
        <v>689769.5988686491</v>
      </c>
      <c r="F100">
        <v>-84745.728868649108</v>
      </c>
    </row>
    <row r="101" spans="1:6" ht="14.45">
      <c r="A101" s="3">
        <v>55101.1</v>
      </c>
      <c r="B101" s="3">
        <v>675177.68</v>
      </c>
      <c r="D101">
        <v>72</v>
      </c>
      <c r="E101">
        <v>678076.82480046479</v>
      </c>
      <c r="F101">
        <v>-3302.7348004648229</v>
      </c>
    </row>
    <row r="102" spans="1:6" ht="14.45">
      <c r="A102" s="3">
        <v>53084.76</v>
      </c>
      <c r="B102" s="3">
        <v>635181.35</v>
      </c>
      <c r="D102">
        <v>73</v>
      </c>
      <c r="E102">
        <v>659166.83476406534</v>
      </c>
      <c r="F102">
        <v>-43097.424764065305</v>
      </c>
    </row>
    <row r="103" spans="1:6" ht="14.45">
      <c r="A103" s="3">
        <v>63101.59</v>
      </c>
      <c r="B103" s="3">
        <v>586626.93999999994</v>
      </c>
      <c r="D103">
        <v>74</v>
      </c>
      <c r="E103">
        <v>675269.53342062281</v>
      </c>
      <c r="F103">
        <v>-44439.59342062287</v>
      </c>
    </row>
    <row r="104" spans="1:6" ht="14.45">
      <c r="A104" s="3">
        <v>90084.4</v>
      </c>
      <c r="B104" s="3">
        <v>740102.64</v>
      </c>
      <c r="D104">
        <v>75</v>
      </c>
      <c r="E104">
        <v>710155.93829665345</v>
      </c>
      <c r="F104">
        <v>77931.741703346604</v>
      </c>
    </row>
    <row r="105" spans="1:6" ht="14.45">
      <c r="A105" s="3">
        <v>32266.639999999999</v>
      </c>
      <c r="B105" s="3">
        <v>625514.04</v>
      </c>
      <c r="D105">
        <v>76</v>
      </c>
      <c r="E105">
        <v>685889.10800246825</v>
      </c>
      <c r="F105">
        <v>-5048.7480024682591</v>
      </c>
    </row>
    <row r="106" spans="1:6" ht="14.45">
      <c r="A106" s="3">
        <v>57919.07</v>
      </c>
      <c r="B106" s="3">
        <v>727227.2</v>
      </c>
      <c r="D106">
        <v>77</v>
      </c>
      <c r="E106">
        <v>682106.02391177125</v>
      </c>
      <c r="F106">
        <v>-38448.553911771276</v>
      </c>
    </row>
    <row r="107" spans="1:6" ht="14.45">
      <c r="A107" s="3">
        <v>74679.350000000006</v>
      </c>
      <c r="B107" s="3">
        <v>783797.89</v>
      </c>
      <c r="D107">
        <v>78</v>
      </c>
      <c r="E107">
        <v>677633.14907671465</v>
      </c>
      <c r="F107">
        <v>13479.450923285331</v>
      </c>
    </row>
    <row r="108" spans="1:6" ht="14.45">
      <c r="A108" s="3">
        <v>64294.23</v>
      </c>
      <c r="B108" s="3">
        <v>795153.84</v>
      </c>
      <c r="D108">
        <v>79</v>
      </c>
      <c r="E108">
        <v>732341.91794674413</v>
      </c>
      <c r="F108">
        <v>44580.252053255914</v>
      </c>
    </row>
    <row r="109" spans="1:6" ht="14.45">
      <c r="A109" s="3">
        <v>31042.03</v>
      </c>
      <c r="B109" s="3">
        <v>665594.93999999994</v>
      </c>
      <c r="D109">
        <v>80</v>
      </c>
      <c r="E109">
        <v>726884.00804391084</v>
      </c>
      <c r="F109">
        <v>-90322.668043910875</v>
      </c>
    </row>
    <row r="110" spans="1:6" ht="14.45">
      <c r="A110" s="3">
        <v>75265.02</v>
      </c>
      <c r="B110" s="3">
        <v>709478.39</v>
      </c>
      <c r="D110">
        <v>81</v>
      </c>
      <c r="E110">
        <v>690428.04226418666</v>
      </c>
      <c r="F110">
        <v>-69058.462264186703</v>
      </c>
    </row>
    <row r="111" spans="1:6" ht="14.45">
      <c r="A111" s="3">
        <v>69411.7</v>
      </c>
      <c r="B111" s="3">
        <v>664162.49</v>
      </c>
      <c r="D111">
        <v>82</v>
      </c>
      <c r="E111">
        <v>689890.04764917761</v>
      </c>
      <c r="F111">
        <v>-7682.0376491775969</v>
      </c>
    </row>
    <row r="112" spans="1:6" ht="14.45">
      <c r="A112" s="3">
        <v>51056.15</v>
      </c>
      <c r="B112" s="3">
        <v>633494.21</v>
      </c>
      <c r="D112">
        <v>83</v>
      </c>
      <c r="E112">
        <v>715663.78674091864</v>
      </c>
      <c r="F112">
        <v>11578.073259081342</v>
      </c>
    </row>
    <row r="113" spans="1:6" ht="14.45">
      <c r="A113" s="3">
        <v>52758.01</v>
      </c>
      <c r="B113" s="3">
        <v>713611.16</v>
      </c>
      <c r="D113">
        <v>84</v>
      </c>
      <c r="E113">
        <v>638455.11752175866</v>
      </c>
      <c r="F113">
        <v>-69354.337521758629</v>
      </c>
    </row>
    <row r="114" spans="1:6" ht="14.45">
      <c r="A114" s="3">
        <v>61426.04</v>
      </c>
      <c r="B114" s="3">
        <v>778397.97</v>
      </c>
      <c r="D114">
        <v>85</v>
      </c>
      <c r="E114">
        <v>678730.49794726842</v>
      </c>
      <c r="F114">
        <v>-104294.20794726838</v>
      </c>
    </row>
    <row r="115" spans="1:6" ht="14.45">
      <c r="A115" s="3">
        <v>80176.34</v>
      </c>
      <c r="B115" s="3">
        <v>873380.02</v>
      </c>
      <c r="D115">
        <v>86</v>
      </c>
      <c r="E115">
        <v>749125.01592046651</v>
      </c>
      <c r="F115">
        <v>-137358.29592046654</v>
      </c>
    </row>
    <row r="116" spans="1:6" ht="14.45">
      <c r="A116" s="3">
        <v>33605.18</v>
      </c>
      <c r="B116" s="3">
        <v>697287.9</v>
      </c>
      <c r="D116">
        <v>87</v>
      </c>
      <c r="E116">
        <v>727378.09081566497</v>
      </c>
      <c r="F116">
        <v>-112781.77081566502</v>
      </c>
    </row>
    <row r="117" spans="1:6" ht="14.45">
      <c r="A117" s="3">
        <v>25990.54</v>
      </c>
      <c r="B117" s="3">
        <v>718074.79</v>
      </c>
      <c r="D117">
        <v>88</v>
      </c>
      <c r="E117">
        <v>601231.43983643828</v>
      </c>
      <c r="F117">
        <v>-150519.5198364383</v>
      </c>
    </row>
    <row r="118" spans="1:6" ht="14.45">
      <c r="A118" s="3">
        <v>43685.14</v>
      </c>
      <c r="B118" s="3">
        <v>714942.43</v>
      </c>
      <c r="D118">
        <v>89</v>
      </c>
      <c r="E118">
        <v>668359.10407410027</v>
      </c>
      <c r="F118">
        <v>42854.355925899697</v>
      </c>
    </row>
    <row r="119" spans="1:6" ht="14.45">
      <c r="A119" s="3">
        <v>57360.01</v>
      </c>
      <c r="B119" s="3">
        <v>820519.04</v>
      </c>
      <c r="D119">
        <v>90</v>
      </c>
      <c r="E119">
        <v>862198.05489334627</v>
      </c>
      <c r="F119">
        <v>-235026.15489334625</v>
      </c>
    </row>
    <row r="120" spans="1:6" ht="14.45">
      <c r="A120" s="3">
        <v>42415.47</v>
      </c>
      <c r="B120" s="3">
        <v>684217.32</v>
      </c>
      <c r="D120">
        <v>91</v>
      </c>
      <c r="E120">
        <v>735649.95766911563</v>
      </c>
      <c r="F120">
        <v>4202.6223308843328</v>
      </c>
    </row>
    <row r="121" spans="1:6" ht="14.45">
      <c r="A121" s="3">
        <v>54968.98</v>
      </c>
      <c r="B121" s="3">
        <v>735480.19</v>
      </c>
      <c r="D121">
        <v>92</v>
      </c>
      <c r="E121">
        <v>627236.08878094982</v>
      </c>
      <c r="F121">
        <v>-40928.868780949851</v>
      </c>
    </row>
    <row r="122" spans="1:6" ht="14.45">
      <c r="A122" s="3">
        <v>43896.13</v>
      </c>
      <c r="B122" s="3">
        <v>509484.81</v>
      </c>
      <c r="D122">
        <v>93</v>
      </c>
      <c r="E122">
        <v>643759.63411374553</v>
      </c>
      <c r="F122">
        <v>-57822.15411374555</v>
      </c>
    </row>
    <row r="123" spans="1:6" ht="14.45">
      <c r="A123" s="3">
        <v>83044.17</v>
      </c>
      <c r="B123" s="3">
        <v>654317.09</v>
      </c>
      <c r="D123">
        <v>94</v>
      </c>
      <c r="E123">
        <v>704394.41483936575</v>
      </c>
      <c r="F123">
        <v>49079.135160634294</v>
      </c>
    </row>
    <row r="124" spans="1:6" ht="14.45">
      <c r="A124" s="3">
        <v>48396.13</v>
      </c>
      <c r="B124" s="3">
        <v>557487.26</v>
      </c>
      <c r="D124">
        <v>95</v>
      </c>
      <c r="E124">
        <v>744819.24886136584</v>
      </c>
      <c r="F124">
        <v>93431.071138634114</v>
      </c>
    </row>
    <row r="125" spans="1:6" ht="14.45">
      <c r="A125" s="3">
        <v>19063.48</v>
      </c>
      <c r="B125" s="3">
        <v>441275.42</v>
      </c>
      <c r="D125">
        <v>96</v>
      </c>
      <c r="E125">
        <v>581082.10084664135</v>
      </c>
      <c r="F125">
        <v>26816.019153358648</v>
      </c>
    </row>
    <row r="126" spans="1:6" ht="14.45">
      <c r="A126" s="3">
        <v>61541.21</v>
      </c>
      <c r="B126" s="3">
        <v>914544.17</v>
      </c>
      <c r="D126">
        <v>97</v>
      </c>
      <c r="E126">
        <v>690962.69344593131</v>
      </c>
      <c r="F126">
        <v>150.92655406869017</v>
      </c>
    </row>
    <row r="127" spans="1:6" ht="14.45">
      <c r="A127" s="3">
        <v>44747</v>
      </c>
      <c r="B127" s="3">
        <v>842439.67</v>
      </c>
      <c r="D127">
        <v>98</v>
      </c>
      <c r="E127">
        <v>728671.76523566921</v>
      </c>
      <c r="F127">
        <v>6837.6347643308109</v>
      </c>
    </row>
    <row r="128" spans="1:6" ht="14.45">
      <c r="A128" s="3">
        <v>56517.9</v>
      </c>
      <c r="B128" s="3">
        <v>842157.92</v>
      </c>
      <c r="D128">
        <v>99</v>
      </c>
      <c r="E128">
        <v>643304.35220446019</v>
      </c>
      <c r="F128">
        <v>-37529.022204460227</v>
      </c>
    </row>
    <row r="129" spans="1:6" ht="14.45">
      <c r="A129" s="3">
        <v>37828.5</v>
      </c>
      <c r="B129" s="3">
        <v>697155.3</v>
      </c>
      <c r="D129">
        <v>100</v>
      </c>
      <c r="E129">
        <v>678119.2885324969</v>
      </c>
      <c r="F129">
        <v>-2941.6085324968444</v>
      </c>
    </row>
    <row r="130" spans="1:6" ht="14.45">
      <c r="A130" s="3">
        <v>66250.53</v>
      </c>
      <c r="B130" s="3">
        <v>849018.3</v>
      </c>
      <c r="D130">
        <v>101</v>
      </c>
      <c r="E130">
        <v>673825.3406164645</v>
      </c>
      <c r="F130">
        <v>-38643.990616464522</v>
      </c>
    </row>
    <row r="131" spans="1:6" ht="14.45">
      <c r="A131" s="3">
        <v>68410.929999999993</v>
      </c>
      <c r="B131" s="3">
        <v>801830.35</v>
      </c>
      <c r="D131">
        <v>102</v>
      </c>
      <c r="E131">
        <v>695156.93464512611</v>
      </c>
      <c r="F131">
        <v>-108529.99464512616</v>
      </c>
    </row>
    <row r="132" spans="1:6" ht="14.45">
      <c r="A132" s="3">
        <v>50735.63</v>
      </c>
      <c r="B132" s="3">
        <v>725235.28</v>
      </c>
      <c r="D132">
        <v>103</v>
      </c>
      <c r="E132">
        <v>752618.8610901701</v>
      </c>
      <c r="F132">
        <v>-12516.221090170089</v>
      </c>
    </row>
    <row r="133" spans="1:6" ht="14.45">
      <c r="A133" s="3">
        <v>66455.8</v>
      </c>
      <c r="B133" s="3">
        <v>811452.72</v>
      </c>
      <c r="D133">
        <v>104</v>
      </c>
      <c r="E133">
        <v>629491.58589766012</v>
      </c>
      <c r="F133">
        <v>-3977.5458976600785</v>
      </c>
    </row>
    <row r="134" spans="1:6" ht="14.45">
      <c r="A134" s="3">
        <v>70276.28</v>
      </c>
      <c r="B134" s="3">
        <v>527300.13</v>
      </c>
      <c r="D134">
        <v>105</v>
      </c>
      <c r="E134">
        <v>684120.36791838519</v>
      </c>
      <c r="F134">
        <v>43106.832081614761</v>
      </c>
    </row>
    <row r="135" spans="1:6" ht="14.45">
      <c r="A135" s="3">
        <v>22071.64</v>
      </c>
      <c r="B135" s="3">
        <v>400831.65</v>
      </c>
      <c r="D135">
        <v>106</v>
      </c>
      <c r="E135">
        <v>719812.6466898825</v>
      </c>
      <c r="F135">
        <v>63985.243310117512</v>
      </c>
    </row>
    <row r="136" spans="1:6" ht="14.45">
      <c r="A136" s="3">
        <v>52285.45</v>
      </c>
      <c r="B136" s="3">
        <v>593247.25</v>
      </c>
      <c r="D136">
        <v>107</v>
      </c>
      <c r="E136">
        <v>697696.75136382284</v>
      </c>
      <c r="F136">
        <v>97457.088636177126</v>
      </c>
    </row>
    <row r="137" spans="1:6" ht="14.45">
      <c r="A137" s="3">
        <v>70366.759999999995</v>
      </c>
      <c r="B137" s="3">
        <v>529075.94999999995</v>
      </c>
      <c r="D137">
        <v>108</v>
      </c>
      <c r="E137">
        <v>626883.68665574025</v>
      </c>
      <c r="F137">
        <v>38711.25334425969</v>
      </c>
    </row>
    <row r="138" spans="1:6" ht="14.45">
      <c r="A138" s="3">
        <v>71320.66</v>
      </c>
      <c r="B138" s="3">
        <v>633638.03</v>
      </c>
      <c r="D138">
        <v>109</v>
      </c>
      <c r="E138">
        <v>721059.87507199205</v>
      </c>
      <c r="F138">
        <v>-11581.485071992036</v>
      </c>
    </row>
    <row r="139" spans="1:6" ht="14.45">
      <c r="A139" s="3">
        <v>75109.67</v>
      </c>
      <c r="B139" s="3">
        <v>743348.84</v>
      </c>
      <c r="D139">
        <v>110</v>
      </c>
      <c r="E139">
        <v>708594.78921550396</v>
      </c>
      <c r="F139">
        <v>-44432.299215503968</v>
      </c>
    </row>
    <row r="140" spans="1:6" ht="14.45">
      <c r="A140" s="3">
        <v>69779</v>
      </c>
      <c r="B140" s="3">
        <v>758827.64</v>
      </c>
      <c r="D140">
        <v>111</v>
      </c>
      <c r="E140">
        <v>669505.26281116251</v>
      </c>
      <c r="F140">
        <v>-36011.052811162546</v>
      </c>
    </row>
    <row r="141" spans="1:6" ht="14.45">
      <c r="A141" s="3">
        <v>44211.95</v>
      </c>
      <c r="B141" s="3">
        <v>646559.71</v>
      </c>
      <c r="D141">
        <v>112</v>
      </c>
      <c r="E141">
        <v>673129.50187817449</v>
      </c>
      <c r="F141">
        <v>40481.658121825545</v>
      </c>
    </row>
    <row r="142" spans="1:6" ht="14.45">
      <c r="A142" s="3">
        <v>51430.31</v>
      </c>
      <c r="B142" s="3">
        <v>715890.53</v>
      </c>
      <c r="D142">
        <v>113</v>
      </c>
      <c r="E142">
        <v>691588.72470498295</v>
      </c>
      <c r="F142">
        <v>86809.245295017026</v>
      </c>
    </row>
    <row r="143" spans="1:6" ht="14.45">
      <c r="A143" s="3">
        <v>45706.49</v>
      </c>
      <c r="B143" s="3">
        <v>715097.57</v>
      </c>
      <c r="D143">
        <v>114</v>
      </c>
      <c r="E143">
        <v>731518.90096989041</v>
      </c>
      <c r="F143">
        <v>141861.11903010961</v>
      </c>
    </row>
    <row r="144" spans="1:6" ht="14.45">
      <c r="A144" s="3">
        <v>44034.6</v>
      </c>
      <c r="B144" s="3">
        <v>682639.28</v>
      </c>
      <c r="D144">
        <v>115</v>
      </c>
      <c r="E144">
        <v>632342.10765665222</v>
      </c>
      <c r="F144">
        <v>64945.792343347799</v>
      </c>
    </row>
    <row r="145" spans="1:6" ht="14.45">
      <c r="A145" s="3">
        <v>50198.12</v>
      </c>
      <c r="B145" s="3">
        <v>695098.51</v>
      </c>
      <c r="D145">
        <v>116</v>
      </c>
      <c r="E145">
        <v>616126.15818417352</v>
      </c>
      <c r="F145">
        <v>101948.63181582652</v>
      </c>
    </row>
    <row r="146" spans="1:6" ht="14.45">
      <c r="A146" s="3">
        <v>70488.2</v>
      </c>
      <c r="B146" s="3">
        <v>577732.56999999995</v>
      </c>
      <c r="D146">
        <v>117</v>
      </c>
      <c r="E146">
        <v>653808.1417757445</v>
      </c>
      <c r="F146">
        <v>61134.28822425555</v>
      </c>
    </row>
    <row r="147" spans="1:6" ht="14.45">
      <c r="A147" s="3">
        <v>50909.27</v>
      </c>
      <c r="B147" s="3">
        <v>537058.32999999996</v>
      </c>
      <c r="D147">
        <v>118</v>
      </c>
      <c r="E147">
        <v>682929.80753574288</v>
      </c>
      <c r="F147">
        <v>137589.23246425716</v>
      </c>
    </row>
    <row r="148" spans="1:6" ht="14.45">
      <c r="A148" s="3">
        <v>53351.7</v>
      </c>
      <c r="B148" s="3">
        <v>601568.87</v>
      </c>
      <c r="D148">
        <v>119</v>
      </c>
      <c r="E148">
        <v>651104.2838695636</v>
      </c>
      <c r="F148">
        <v>33113.036130436347</v>
      </c>
    </row>
    <row r="149" spans="1:6" ht="14.45">
      <c r="A149" s="3">
        <v>60322.400000000001</v>
      </c>
      <c r="B149" s="3">
        <v>570964.84</v>
      </c>
      <c r="D149">
        <v>120</v>
      </c>
      <c r="E149">
        <v>677837.92904021579</v>
      </c>
      <c r="F149">
        <v>57642.260959784151</v>
      </c>
    </row>
    <row r="150" spans="1:6" ht="14.45">
      <c r="A150" s="3">
        <v>51575.68</v>
      </c>
      <c r="B150" s="3">
        <v>614024.91</v>
      </c>
      <c r="D150">
        <v>121</v>
      </c>
      <c r="E150">
        <v>654257.46087411267</v>
      </c>
      <c r="F150">
        <v>-144772.65087411267</v>
      </c>
    </row>
    <row r="151" spans="1:6" ht="14.45">
      <c r="A151" s="3">
        <v>43319.94</v>
      </c>
      <c r="B151" s="3">
        <v>712868.35</v>
      </c>
      <c r="D151">
        <v>122</v>
      </c>
      <c r="E151">
        <v>737626.1609816124</v>
      </c>
      <c r="F151">
        <v>-83309.070981612429</v>
      </c>
    </row>
    <row r="152" spans="1:6" ht="14.45">
      <c r="A152" s="3">
        <v>47093.55</v>
      </c>
      <c r="B152" s="3">
        <v>696744.15</v>
      </c>
      <c r="D152">
        <v>123</v>
      </c>
      <c r="E152">
        <v>663840.54984826688</v>
      </c>
      <c r="F152">
        <v>-106353.28984826687</v>
      </c>
    </row>
    <row r="153" spans="1:6" ht="14.45">
      <c r="A153" s="3">
        <v>71855.09</v>
      </c>
      <c r="B153" s="3">
        <v>725847.99</v>
      </c>
      <c r="D153">
        <v>124</v>
      </c>
      <c r="E153">
        <v>601374.46211543912</v>
      </c>
      <c r="F153">
        <v>-160099.04211543914</v>
      </c>
    </row>
    <row r="154" spans="1:6" ht="14.45">
      <c r="A154" s="3">
        <v>75645.23</v>
      </c>
      <c r="B154" s="3">
        <v>785028.25</v>
      </c>
      <c r="D154">
        <v>125</v>
      </c>
      <c r="E154">
        <v>691833.9878954615</v>
      </c>
      <c r="F154">
        <v>222710.18210453854</v>
      </c>
    </row>
    <row r="155" spans="1:6" ht="14.45">
      <c r="A155" s="3">
        <v>64374.75</v>
      </c>
      <c r="B155" s="3">
        <v>698492.67</v>
      </c>
      <c r="D155">
        <v>126</v>
      </c>
      <c r="E155">
        <v>656069.45263309905</v>
      </c>
      <c r="F155">
        <v>186370.21736690099</v>
      </c>
    </row>
    <row r="156" spans="1:6" ht="14.45">
      <c r="A156" s="3">
        <v>61433.84</v>
      </c>
      <c r="B156" s="3">
        <v>685830.24</v>
      </c>
      <c r="D156">
        <v>127</v>
      </c>
      <c r="E156">
        <v>681136.47085662617</v>
      </c>
      <c r="F156">
        <v>161021.44914337387</v>
      </c>
    </row>
    <row r="157" spans="1:6" ht="14.45">
      <c r="A157" s="3">
        <v>42698.14</v>
      </c>
      <c r="B157" s="3">
        <v>702318.94</v>
      </c>
      <c r="D157">
        <v>128</v>
      </c>
      <c r="E157">
        <v>641335.98572916887</v>
      </c>
      <c r="F157">
        <v>55819.314270831179</v>
      </c>
    </row>
    <row r="158" spans="1:6" ht="14.45">
      <c r="A158" s="3">
        <v>86883.31</v>
      </c>
      <c r="B158" s="3">
        <v>700078.32</v>
      </c>
      <c r="D158">
        <v>129</v>
      </c>
      <c r="E158">
        <v>701862.83957718674</v>
      </c>
      <c r="F158">
        <v>147155.46042281331</v>
      </c>
    </row>
    <row r="159" spans="1:6" ht="14.45">
      <c r="A159" s="3">
        <v>41863.08</v>
      </c>
      <c r="B159" s="3">
        <v>602002.31999999995</v>
      </c>
      <c r="D159">
        <v>130</v>
      </c>
      <c r="E159">
        <v>706463.57411491184</v>
      </c>
      <c r="F159">
        <v>95366.775885088136</v>
      </c>
    </row>
    <row r="160" spans="1:6" ht="14.45">
      <c r="A160" s="3">
        <v>56918.16</v>
      </c>
      <c r="B160" s="3">
        <v>724216.07</v>
      </c>
      <c r="D160">
        <v>131</v>
      </c>
      <c r="E160">
        <v>668822.69132716337</v>
      </c>
      <c r="F160">
        <v>56412.58867283666</v>
      </c>
    </row>
    <row r="161" spans="1:6" ht="14.45">
      <c r="A161" s="3">
        <v>23254.57</v>
      </c>
      <c r="B161" s="3">
        <v>620973.03</v>
      </c>
      <c r="D161">
        <v>132</v>
      </c>
      <c r="E161">
        <v>702299.9775046811</v>
      </c>
      <c r="F161">
        <v>109152.74249531887</v>
      </c>
    </row>
    <row r="162" spans="1:6" ht="14.45">
      <c r="A162" s="3">
        <v>41443.410000000003</v>
      </c>
      <c r="B162" s="3">
        <v>650480.06000000006</v>
      </c>
      <c r="D162">
        <v>133</v>
      </c>
      <c r="E162">
        <v>710435.97745223157</v>
      </c>
      <c r="F162">
        <v>-183135.84745223157</v>
      </c>
    </row>
    <row r="163" spans="1:6" ht="14.45">
      <c r="A163" s="3">
        <v>48438.85</v>
      </c>
      <c r="B163" s="3">
        <v>778298.88</v>
      </c>
      <c r="D163">
        <v>134</v>
      </c>
      <c r="E163">
        <v>607780.56543288182</v>
      </c>
      <c r="F163">
        <v>-206948.9154328818</v>
      </c>
    </row>
    <row r="164" spans="1:6" ht="14.45">
      <c r="A164" s="3">
        <v>57143.3</v>
      </c>
      <c r="B164" s="3">
        <v>677096.71</v>
      </c>
      <c r="D164">
        <v>135</v>
      </c>
      <c r="E164">
        <v>672123.14976136864</v>
      </c>
      <c r="F164">
        <v>-78875.899761368637</v>
      </c>
    </row>
    <row r="165" spans="1:6" ht="14.45">
      <c r="A165" s="3">
        <v>66870.62</v>
      </c>
      <c r="B165" s="3">
        <v>692008.64</v>
      </c>
      <c r="D165">
        <v>136</v>
      </c>
      <c r="E165">
        <v>710628.66142787179</v>
      </c>
      <c r="F165">
        <v>-181552.71142787184</v>
      </c>
    </row>
    <row r="166" spans="1:6" ht="14.45">
      <c r="A166" s="3">
        <v>72150.53</v>
      </c>
      <c r="B166" s="3">
        <v>825797.91</v>
      </c>
      <c r="D166">
        <v>137</v>
      </c>
      <c r="E166">
        <v>712660.06333285978</v>
      </c>
      <c r="F166">
        <v>-79022.033332859748</v>
      </c>
    </row>
    <row r="167" spans="1:6" ht="14.45">
      <c r="A167" s="3">
        <v>35303.300000000003</v>
      </c>
      <c r="B167" s="3">
        <v>706285.52</v>
      </c>
      <c r="D167">
        <v>138</v>
      </c>
      <c r="E167">
        <v>720729.04554485087</v>
      </c>
      <c r="F167">
        <v>22619.794455149095</v>
      </c>
    </row>
    <row r="168" spans="1:6" ht="14.45">
      <c r="A168" s="3">
        <v>30301.86</v>
      </c>
      <c r="B168" s="3">
        <v>665534.69999999995</v>
      </c>
      <c r="D168">
        <v>139</v>
      </c>
      <c r="E168">
        <v>709376.9822333277</v>
      </c>
      <c r="F168">
        <v>49450.657766672317</v>
      </c>
    </row>
    <row r="169" spans="1:6" ht="14.45">
      <c r="A169" s="3">
        <v>78432.14</v>
      </c>
      <c r="B169" s="3">
        <v>820729.29</v>
      </c>
      <c r="D169">
        <v>140</v>
      </c>
      <c r="E169">
        <v>654930.02335407212</v>
      </c>
      <c r="F169">
        <v>-8370.313354072161</v>
      </c>
    </row>
    <row r="170" spans="1:6" ht="14.45">
      <c r="A170" s="3">
        <v>62059.18</v>
      </c>
      <c r="B170" s="3">
        <v>739831.73</v>
      </c>
      <c r="D170">
        <v>141</v>
      </c>
      <c r="E170">
        <v>670302.0647157334</v>
      </c>
      <c r="F170">
        <v>45588.465284266626</v>
      </c>
    </row>
    <row r="171" spans="1:6" ht="14.45">
      <c r="A171" s="3">
        <v>32834.480000000003</v>
      </c>
      <c r="B171" s="3">
        <v>593637.14</v>
      </c>
      <c r="D171">
        <v>142</v>
      </c>
      <c r="E171">
        <v>658112.75886416819</v>
      </c>
      <c r="F171">
        <v>56984.811135831755</v>
      </c>
    </row>
    <row r="172" spans="1:6" ht="14.45">
      <c r="A172" s="3">
        <v>50825.08</v>
      </c>
      <c r="B172" s="3">
        <v>769702.76</v>
      </c>
      <c r="D172">
        <v>143</v>
      </c>
      <c r="E172">
        <v>654552.3431697241</v>
      </c>
      <c r="F172">
        <v>28086.936830275925</v>
      </c>
    </row>
    <row r="173" spans="1:6" ht="14.45">
      <c r="A173" s="3">
        <v>36606.51</v>
      </c>
      <c r="B173" s="3">
        <v>679731.57</v>
      </c>
      <c r="D173">
        <v>144</v>
      </c>
      <c r="E173">
        <v>667678.02329283056</v>
      </c>
      <c r="F173">
        <v>27420.486707169446</v>
      </c>
    </row>
    <row r="174" spans="1:6" ht="14.45">
      <c r="A174" s="3">
        <v>65237.79</v>
      </c>
      <c r="B174" s="3">
        <v>780344.18</v>
      </c>
      <c r="D174">
        <v>145</v>
      </c>
      <c r="E174">
        <v>710887.27705565433</v>
      </c>
      <c r="F174">
        <v>-133154.70705565438</v>
      </c>
    </row>
    <row r="175" spans="1:6" ht="14.45">
      <c r="A175" s="3">
        <v>43645.98</v>
      </c>
      <c r="B175" s="3">
        <v>721364.11</v>
      </c>
      <c r="D175">
        <v>146</v>
      </c>
      <c r="E175">
        <v>669192.47078704601</v>
      </c>
      <c r="F175">
        <v>-132134.14078704605</v>
      </c>
    </row>
    <row r="176" spans="1:6" ht="14.45">
      <c r="A176" s="3">
        <v>68040.149999999994</v>
      </c>
      <c r="B176" s="3">
        <v>758138.29</v>
      </c>
      <c r="D176">
        <v>147</v>
      </c>
      <c r="E176">
        <v>674393.80945441127</v>
      </c>
      <c r="F176">
        <v>-72824.939454411273</v>
      </c>
    </row>
    <row r="177" spans="1:6" ht="14.45">
      <c r="A177" s="3">
        <v>63043.94</v>
      </c>
      <c r="B177" s="3">
        <v>804264</v>
      </c>
      <c r="D177">
        <v>148</v>
      </c>
      <c r="E177">
        <v>689238.44019044167</v>
      </c>
      <c r="F177">
        <v>-118273.60019044171</v>
      </c>
    </row>
    <row r="178" spans="1:6" ht="14.45">
      <c r="A178" s="3">
        <v>67494.09</v>
      </c>
      <c r="B178" s="3">
        <v>887537.75</v>
      </c>
      <c r="D178">
        <v>149</v>
      </c>
      <c r="E178">
        <v>670611.64108110522</v>
      </c>
      <c r="F178">
        <v>-56586.731081105187</v>
      </c>
    </row>
    <row r="179" spans="1:6" ht="14.45">
      <c r="A179" s="3">
        <v>29389.32</v>
      </c>
      <c r="B179" s="3">
        <v>783582</v>
      </c>
      <c r="D179">
        <v>150</v>
      </c>
      <c r="E179">
        <v>653030.42086610873</v>
      </c>
      <c r="F179">
        <v>59837.929133891244</v>
      </c>
    </row>
    <row r="180" spans="1:6" ht="14.45">
      <c r="A180" s="3">
        <v>40535.089999999997</v>
      </c>
      <c r="B180" s="3">
        <v>781955.52</v>
      </c>
      <c r="D180">
        <v>151</v>
      </c>
      <c r="E180">
        <v>661066.60761805496</v>
      </c>
      <c r="F180">
        <v>35677.542381945066</v>
      </c>
    </row>
    <row r="181" spans="1:6" ht="14.45">
      <c r="A181" s="3">
        <v>74881.56</v>
      </c>
      <c r="B181" s="3">
        <v>898031.04</v>
      </c>
      <c r="D181">
        <v>152</v>
      </c>
      <c r="E181">
        <v>713798.17227518361</v>
      </c>
      <c r="F181">
        <v>12049.817724816385</v>
      </c>
    </row>
    <row r="182" spans="1:6" ht="14.45">
      <c r="A182" s="3">
        <v>68491.11</v>
      </c>
      <c r="B182" s="3">
        <v>855341.28</v>
      </c>
      <c r="D182">
        <v>153</v>
      </c>
      <c r="E182">
        <v>721869.56090729497</v>
      </c>
      <c r="F182">
        <v>63158.689092705026</v>
      </c>
    </row>
    <row r="183" spans="1:6" ht="14.45">
      <c r="A183" s="3">
        <v>45209.25</v>
      </c>
      <c r="B183" s="3">
        <v>751393.88</v>
      </c>
      <c r="D183">
        <v>154</v>
      </c>
      <c r="E183">
        <v>697868.22476920031</v>
      </c>
      <c r="F183">
        <v>624.44523079972714</v>
      </c>
    </row>
    <row r="184" spans="1:6" ht="14.45">
      <c r="A184" s="3">
        <v>63010.23</v>
      </c>
      <c r="B184" s="3">
        <v>761077.08</v>
      </c>
      <c r="D184">
        <v>155</v>
      </c>
      <c r="E184">
        <v>691605.33539253811</v>
      </c>
      <c r="F184">
        <v>-5775.0953925381182</v>
      </c>
    </row>
    <row r="185" spans="1:6" ht="14.45">
      <c r="A185" s="3">
        <v>57948.88</v>
      </c>
      <c r="B185" s="3">
        <v>819660.59</v>
      </c>
      <c r="D185">
        <v>156</v>
      </c>
      <c r="E185">
        <v>651706.25092741335</v>
      </c>
      <c r="F185">
        <v>50612.689072586596</v>
      </c>
    </row>
    <row r="186" spans="1:6" ht="14.45">
      <c r="A186" s="3">
        <v>71941.62</v>
      </c>
      <c r="B186" s="3">
        <v>681855.56</v>
      </c>
      <c r="D186">
        <v>157</v>
      </c>
      <c r="E186">
        <v>745801.89880477567</v>
      </c>
      <c r="F186">
        <v>-45723.578804775723</v>
      </c>
    </row>
    <row r="187" spans="1:6" ht="14.45">
      <c r="A187" s="3">
        <v>57147.88</v>
      </c>
      <c r="B187" s="3">
        <v>678311.17</v>
      </c>
      <c r="D187">
        <v>158</v>
      </c>
      <c r="E187">
        <v>649927.92775435618</v>
      </c>
      <c r="F187">
        <v>-47925.607754356228</v>
      </c>
    </row>
    <row r="188" spans="1:6" ht="14.45">
      <c r="A188" s="3">
        <v>48031.74</v>
      </c>
      <c r="B188" s="3">
        <v>765906.95</v>
      </c>
      <c r="D188">
        <v>159</v>
      </c>
      <c r="E188">
        <v>681988.85467724735</v>
      </c>
      <c r="F188">
        <v>42227.2153227526</v>
      </c>
    </row>
    <row r="189" spans="1:6" ht="14.45">
      <c r="A189" s="3">
        <v>72784.800000000003</v>
      </c>
      <c r="B189" s="3">
        <v>712546.38</v>
      </c>
      <c r="D189">
        <v>160</v>
      </c>
      <c r="E189">
        <v>610299.70397514757</v>
      </c>
      <c r="F189">
        <v>10673.32602485246</v>
      </c>
    </row>
    <row r="190" spans="1:6" ht="14.45">
      <c r="A190" s="3">
        <v>71641.899999999994</v>
      </c>
      <c r="B190" s="3">
        <v>625993.82999999996</v>
      </c>
      <c r="D190">
        <v>161</v>
      </c>
      <c r="E190">
        <v>649034.20887662657</v>
      </c>
      <c r="F190">
        <v>1445.8511233734898</v>
      </c>
    </row>
    <row r="191" spans="1:6" ht="14.45">
      <c r="A191" s="3">
        <v>55788.61</v>
      </c>
      <c r="B191" s="3">
        <v>550962.93000000005</v>
      </c>
      <c r="D191">
        <v>162</v>
      </c>
      <c r="E191">
        <v>663931.52530626161</v>
      </c>
      <c r="F191">
        <v>114367.35469373839</v>
      </c>
    </row>
    <row r="192" spans="1:6" ht="14.45">
      <c r="A192" s="3">
        <v>37705.879999999997</v>
      </c>
      <c r="B192" s="3">
        <v>443275.59</v>
      </c>
      <c r="D192">
        <v>163</v>
      </c>
      <c r="E192">
        <v>682468.30726650089</v>
      </c>
      <c r="F192">
        <v>-5371.5972665009322</v>
      </c>
    </row>
    <row r="193" spans="1:6" ht="14.45">
      <c r="A193" s="3">
        <v>54966.18</v>
      </c>
      <c r="B193" s="3">
        <v>554012.06999999995</v>
      </c>
      <c r="D193">
        <v>164</v>
      </c>
      <c r="E193">
        <v>703183.36794207199</v>
      </c>
      <c r="F193">
        <v>-11174.727942071971</v>
      </c>
    </row>
    <row r="194" spans="1:6" ht="14.45">
      <c r="A194" s="3">
        <v>81796.740000000005</v>
      </c>
      <c r="B194" s="3">
        <v>643428.85</v>
      </c>
      <c r="D194">
        <v>165</v>
      </c>
      <c r="E194">
        <v>714427.33400996681</v>
      </c>
      <c r="F194">
        <v>111370.57599003322</v>
      </c>
    </row>
    <row r="195" spans="1:6" ht="14.45">
      <c r="A195" s="3">
        <v>51133.43</v>
      </c>
      <c r="B195" s="3">
        <v>611924.27</v>
      </c>
      <c r="D195">
        <v>166</v>
      </c>
      <c r="E195">
        <v>635958.38211193902</v>
      </c>
      <c r="F195">
        <v>70327.137888060999</v>
      </c>
    </row>
    <row r="196" spans="1:6" ht="14.45">
      <c r="A196" s="3">
        <v>40220.18</v>
      </c>
      <c r="B196" s="3">
        <v>559422.02</v>
      </c>
      <c r="D196">
        <v>167</v>
      </c>
      <c r="E196">
        <v>625307.43888551812</v>
      </c>
      <c r="F196">
        <v>40227.261114481837</v>
      </c>
    </row>
    <row r="197" spans="1:6" ht="14.45">
      <c r="A197" s="3">
        <v>41657.64</v>
      </c>
      <c r="B197" s="3">
        <v>449465.06</v>
      </c>
      <c r="D197">
        <v>168</v>
      </c>
      <c r="E197">
        <v>727804.49568350834</v>
      </c>
      <c r="F197">
        <v>92924.794316491694</v>
      </c>
    </row>
    <row r="198" spans="1:6" ht="14.45">
      <c r="A198" s="3">
        <v>71851.45</v>
      </c>
      <c r="B198" s="3">
        <v>691447.43</v>
      </c>
      <c r="D198">
        <v>169</v>
      </c>
      <c r="E198">
        <v>692937.04402789311</v>
      </c>
      <c r="F198">
        <v>46894.685972106876</v>
      </c>
    </row>
    <row r="199" spans="1:6" ht="14.45">
      <c r="A199" s="3">
        <v>54002.83</v>
      </c>
      <c r="B199" s="3">
        <v>574066.61</v>
      </c>
      <c r="D199">
        <v>170</v>
      </c>
      <c r="E199">
        <v>630700.84395167872</v>
      </c>
      <c r="F199">
        <v>-37063.703951678704</v>
      </c>
    </row>
    <row r="200" spans="1:6" ht="14.45">
      <c r="A200" s="3">
        <v>54479.33</v>
      </c>
      <c r="B200" s="3">
        <v>578949.84</v>
      </c>
      <c r="D200">
        <v>171</v>
      </c>
      <c r="E200">
        <v>669013.18184021628</v>
      </c>
      <c r="F200">
        <v>100689.57815978373</v>
      </c>
    </row>
    <row r="201" spans="1:6" ht="14.45">
      <c r="A201" s="3">
        <v>61391.8</v>
      </c>
      <c r="B201" s="3">
        <v>735786.64</v>
      </c>
      <c r="D201">
        <v>172</v>
      </c>
      <c r="E201">
        <v>638733.66597460734</v>
      </c>
      <c r="F201">
        <v>40997.904025392607</v>
      </c>
    </row>
    <row r="202" spans="1:6" ht="14.45">
      <c r="A202" s="3">
        <v>22312.93</v>
      </c>
      <c r="B202" s="3">
        <v>598904.9</v>
      </c>
      <c r="D202">
        <v>173</v>
      </c>
      <c r="E202">
        <v>699706.13345992344</v>
      </c>
      <c r="F202">
        <v>80638.046540076612</v>
      </c>
    </row>
    <row r="203" spans="1:6" ht="14.45">
      <c r="A203" s="3">
        <v>78111.97</v>
      </c>
      <c r="B203" s="3">
        <v>787715.51</v>
      </c>
      <c r="D203">
        <v>174</v>
      </c>
      <c r="E203">
        <v>653724.74760591611</v>
      </c>
      <c r="F203">
        <v>67639.362394083873</v>
      </c>
    </row>
    <row r="204" spans="1:6" ht="14.45">
      <c r="A204" s="3">
        <v>35203.230000000003</v>
      </c>
      <c r="B204" s="3">
        <v>607084.92000000004</v>
      </c>
      <c r="D204">
        <v>175</v>
      </c>
      <c r="E204">
        <v>705673.9701749481</v>
      </c>
      <c r="F204">
        <v>52464.319825051934</v>
      </c>
    </row>
    <row r="205" spans="1:6" ht="14.45">
      <c r="A205" s="3">
        <v>64104.28</v>
      </c>
      <c r="B205" s="3">
        <v>650795.49</v>
      </c>
      <c r="D205">
        <v>176</v>
      </c>
      <c r="E205">
        <v>695034.16462749057</v>
      </c>
      <c r="F205">
        <v>109229.83537250943</v>
      </c>
    </row>
    <row r="206" spans="1:6" ht="14.45">
      <c r="A206" s="3">
        <v>92090.14</v>
      </c>
      <c r="B206" s="3">
        <v>825060.52</v>
      </c>
      <c r="D206">
        <v>177</v>
      </c>
      <c r="E206">
        <v>704511.09427156439</v>
      </c>
      <c r="F206">
        <v>183026.65572843561</v>
      </c>
    </row>
    <row r="207" spans="1:6" ht="14.45">
      <c r="A207" s="3">
        <v>54300.87</v>
      </c>
      <c r="B207" s="3">
        <v>795464.47</v>
      </c>
      <c r="D207">
        <v>178</v>
      </c>
      <c r="E207">
        <v>623364.11621607933</v>
      </c>
      <c r="F207">
        <v>160217.88378392067</v>
      </c>
    </row>
    <row r="208" spans="1:6" ht="14.45">
      <c r="A208" s="3">
        <v>37983.35</v>
      </c>
      <c r="B208" s="3">
        <v>671868.59</v>
      </c>
      <c r="D208">
        <v>179</v>
      </c>
      <c r="E208">
        <v>647099.87301507022</v>
      </c>
      <c r="F208">
        <v>134855.6469849298</v>
      </c>
    </row>
    <row r="209" spans="1:6" ht="14.45">
      <c r="A209" s="3">
        <v>56413.83</v>
      </c>
      <c r="B209" s="3">
        <v>675917.63</v>
      </c>
      <c r="D209">
        <v>180</v>
      </c>
      <c r="E209">
        <v>720243.26811687439</v>
      </c>
      <c r="F209">
        <v>177787.77188312565</v>
      </c>
    </row>
    <row r="210" spans="1:6" ht="14.45">
      <c r="A210" s="3">
        <v>63457.19</v>
      </c>
      <c r="B210" s="3">
        <v>810446.53</v>
      </c>
      <c r="D210">
        <v>181</v>
      </c>
      <c r="E210">
        <v>706634.32346467802</v>
      </c>
      <c r="F210">
        <v>148706.95653532201</v>
      </c>
    </row>
    <row r="211" spans="1:6" ht="14.45">
      <c r="A211" s="3">
        <v>62949.7</v>
      </c>
      <c r="B211" s="3">
        <v>691288.19</v>
      </c>
      <c r="D211">
        <v>182</v>
      </c>
      <c r="E211">
        <v>657053.84882827743</v>
      </c>
      <c r="F211">
        <v>94340.03117172257</v>
      </c>
    </row>
    <row r="212" spans="1:6" ht="14.45">
      <c r="A212" s="3">
        <v>107970.19</v>
      </c>
      <c r="B212" s="3">
        <v>946833.54</v>
      </c>
      <c r="D212">
        <v>183</v>
      </c>
      <c r="E212">
        <v>694962.37664319749</v>
      </c>
      <c r="F212">
        <v>66114.703356802464</v>
      </c>
    </row>
    <row r="213" spans="1:6" ht="14.45">
      <c r="A213" s="3">
        <v>49405.75</v>
      </c>
      <c r="B213" s="3">
        <v>761963.23</v>
      </c>
      <c r="D213">
        <v>184</v>
      </c>
      <c r="E213">
        <v>684183.85055890062</v>
      </c>
      <c r="F213">
        <v>135476.73944109934</v>
      </c>
    </row>
    <row r="214" spans="1:6" ht="14.45">
      <c r="A214" s="3">
        <v>50887.46</v>
      </c>
      <c r="B214" s="3">
        <v>812152.6</v>
      </c>
      <c r="D214">
        <v>185</v>
      </c>
      <c r="E214">
        <v>713982.44442828</v>
      </c>
      <c r="F214">
        <v>-32126.88442827994</v>
      </c>
    </row>
    <row r="215" spans="1:6" ht="14.45">
      <c r="A215" s="3">
        <v>41819.449999999997</v>
      </c>
      <c r="B215" s="3">
        <v>804975.5</v>
      </c>
      <c r="D215">
        <v>186</v>
      </c>
      <c r="E215">
        <v>682478.06072150124</v>
      </c>
      <c r="F215">
        <v>-4166.8907215012005</v>
      </c>
    </row>
    <row r="216" spans="1:6" ht="14.45">
      <c r="A216" s="3">
        <v>35296.54</v>
      </c>
      <c r="B216" s="3">
        <v>752321.72</v>
      </c>
      <c r="D216">
        <v>187</v>
      </c>
      <c r="E216">
        <v>663064.55389464647</v>
      </c>
      <c r="F216">
        <v>102842.39610535349</v>
      </c>
    </row>
    <row r="217" spans="1:6" ht="14.45">
      <c r="A217" s="3">
        <v>47391.09</v>
      </c>
      <c r="B217" s="3">
        <v>836908.24</v>
      </c>
      <c r="D217">
        <v>188</v>
      </c>
      <c r="E217">
        <v>715778.05975299713</v>
      </c>
      <c r="F217">
        <v>-3231.6797529971227</v>
      </c>
    </row>
    <row r="218" spans="1:6" ht="14.45">
      <c r="A218" s="3">
        <v>69180.539999999994</v>
      </c>
      <c r="B218" s="3">
        <v>674289.1</v>
      </c>
      <c r="D218">
        <v>189</v>
      </c>
      <c r="E218">
        <v>713344.16811109474</v>
      </c>
      <c r="F218">
        <v>-87350.338111094781</v>
      </c>
    </row>
    <row r="219" spans="1:6" ht="14.45">
      <c r="A219" s="3">
        <v>33987.33</v>
      </c>
      <c r="B219" s="3">
        <v>622892.42000000004</v>
      </c>
      <c r="D219">
        <v>190</v>
      </c>
      <c r="E219">
        <v>679583.39286596817</v>
      </c>
      <c r="F219">
        <v>-128620.46286596812</v>
      </c>
    </row>
    <row r="220" spans="1:6" ht="14.45">
      <c r="A220" s="3">
        <v>58785.33</v>
      </c>
      <c r="B220" s="3">
        <v>673348.56</v>
      </c>
      <c r="D220">
        <v>191</v>
      </c>
      <c r="E220">
        <v>641074.85720249976</v>
      </c>
      <c r="F220">
        <v>-197799.26720249973</v>
      </c>
    </row>
    <row r="221" spans="1:6" ht="14.45">
      <c r="A221" s="3">
        <v>16451.849999999999</v>
      </c>
      <c r="B221" s="3">
        <v>606278.30000000005</v>
      </c>
      <c r="D221">
        <v>192</v>
      </c>
      <c r="E221">
        <v>677831.9662292985</v>
      </c>
      <c r="F221">
        <v>-123819.89622929855</v>
      </c>
    </row>
    <row r="222" spans="1:6" ht="14.45">
      <c r="A222" s="3">
        <v>53367.73</v>
      </c>
      <c r="B222" s="3">
        <v>712219.81</v>
      </c>
      <c r="D222">
        <v>193</v>
      </c>
      <c r="E222">
        <v>734969.66483071703</v>
      </c>
      <c r="F222">
        <v>-91540.814830717049</v>
      </c>
    </row>
    <row r="223" spans="1:6" ht="14.45">
      <c r="A223" s="3">
        <v>27194.639999999999</v>
      </c>
      <c r="B223" s="3">
        <v>672670.54</v>
      </c>
      <c r="D223">
        <v>194</v>
      </c>
      <c r="E223">
        <v>669669.83639247855</v>
      </c>
      <c r="F223">
        <v>-57745.566392478533</v>
      </c>
    </row>
    <row r="224" spans="1:6" ht="14.45">
      <c r="A224" s="3">
        <v>66962.740000000005</v>
      </c>
      <c r="B224" s="3">
        <v>732667.92</v>
      </c>
      <c r="D224">
        <v>195</v>
      </c>
      <c r="E224">
        <v>646429.24844865885</v>
      </c>
      <c r="F224">
        <v>-87007.228448658832</v>
      </c>
    </row>
    <row r="225" spans="1:6" ht="14.45">
      <c r="A225" s="3">
        <v>73540.990000000005</v>
      </c>
      <c r="B225" s="3">
        <v>723531.4</v>
      </c>
      <c r="D225">
        <v>196</v>
      </c>
      <c r="E225">
        <v>649490.42779905617</v>
      </c>
      <c r="F225">
        <v>-200025.36779905617</v>
      </c>
    </row>
    <row r="226" spans="1:6" ht="14.45">
      <c r="A226" s="3">
        <v>68212.289999999994</v>
      </c>
      <c r="B226" s="3">
        <v>641564.6</v>
      </c>
      <c r="D226">
        <v>197</v>
      </c>
      <c r="E226">
        <v>713790.42062099115</v>
      </c>
      <c r="F226">
        <v>-22342.990620991099</v>
      </c>
    </row>
    <row r="227" spans="1:6" ht="14.45">
      <c r="A227" s="3">
        <v>57225.98</v>
      </c>
      <c r="B227" s="3">
        <v>536545.49</v>
      </c>
      <c r="D227">
        <v>198</v>
      </c>
      <c r="E227">
        <v>675780.43983746483</v>
      </c>
      <c r="F227">
        <v>-101713.82983746484</v>
      </c>
    </row>
    <row r="228" spans="1:6" ht="14.45">
      <c r="A228" s="3">
        <v>42932.02</v>
      </c>
      <c r="B228" s="3">
        <v>527681.56000000006</v>
      </c>
      <c r="D228">
        <v>199</v>
      </c>
      <c r="E228">
        <v>676795.18248106143</v>
      </c>
      <c r="F228">
        <v>-97845.342481061467</v>
      </c>
    </row>
    <row r="229" spans="1:6" ht="14.45">
      <c r="A229" s="3">
        <v>39341.449999999997</v>
      </c>
      <c r="B229" s="3">
        <v>529598.93999999994</v>
      </c>
      <c r="D229">
        <v>200</v>
      </c>
      <c r="E229">
        <v>691515.80804576632</v>
      </c>
      <c r="F229">
        <v>44270.831954233698</v>
      </c>
    </row>
    <row r="230" spans="1:6" ht="14.45">
      <c r="A230" s="3">
        <v>37324.230000000003</v>
      </c>
      <c r="B230" s="3">
        <v>570963.31000000006</v>
      </c>
      <c r="D230">
        <v>201</v>
      </c>
      <c r="E230">
        <v>608294.41066367598</v>
      </c>
      <c r="F230">
        <v>-9389.5106636759592</v>
      </c>
    </row>
    <row r="231" spans="1:6" ht="14.45">
      <c r="A231" s="3">
        <v>113736</v>
      </c>
      <c r="B231" s="3">
        <v>870937.4</v>
      </c>
      <c r="D231">
        <v>202</v>
      </c>
      <c r="E231">
        <v>727122.6695508738</v>
      </c>
      <c r="F231">
        <v>60592.840449126204</v>
      </c>
    </row>
    <row r="232" spans="1:6" ht="14.45">
      <c r="A232" s="3">
        <v>33173.949999999997</v>
      </c>
      <c r="B232" s="3">
        <v>596969.27</v>
      </c>
      <c r="D232">
        <v>203</v>
      </c>
      <c r="E232">
        <v>635745.27550890716</v>
      </c>
      <c r="F232">
        <v>-28660.355508907116</v>
      </c>
    </row>
    <row r="233" spans="1:6" ht="14.45">
      <c r="A233" s="3">
        <v>25818.080000000002</v>
      </c>
      <c r="B233" s="3">
        <v>647512.85</v>
      </c>
      <c r="D233">
        <v>204</v>
      </c>
      <c r="E233">
        <v>697292.23853034712</v>
      </c>
      <c r="F233">
        <v>-46496.748530347133</v>
      </c>
    </row>
    <row r="234" spans="1:6" ht="14.45">
      <c r="A234" s="3">
        <v>47241.919999999998</v>
      </c>
      <c r="B234" s="3">
        <v>658072.14</v>
      </c>
      <c r="D234">
        <v>205</v>
      </c>
      <c r="E234">
        <v>756890.23550773016</v>
      </c>
      <c r="F234">
        <v>68170.284492269857</v>
      </c>
    </row>
    <row r="235" spans="1:6" ht="14.45">
      <c r="A235" s="3">
        <v>61650.79</v>
      </c>
      <c r="B235" s="3">
        <v>723305.11</v>
      </c>
      <c r="D235">
        <v>206</v>
      </c>
      <c r="E235">
        <v>676415.13846809976</v>
      </c>
      <c r="F235">
        <v>119049.33153190021</v>
      </c>
    </row>
    <row r="236" spans="1:6" ht="14.45">
      <c r="A236" s="3">
        <v>62582.71</v>
      </c>
      <c r="B236" s="3">
        <v>640666.53</v>
      </c>
      <c r="D236">
        <v>207</v>
      </c>
      <c r="E236">
        <v>641665.75046864618</v>
      </c>
      <c r="F236">
        <v>30202.839531353791</v>
      </c>
    </row>
    <row r="237" spans="1:6" ht="14.45">
      <c r="A237" s="3">
        <v>47944.14</v>
      </c>
      <c r="B237" s="3">
        <v>670629.48</v>
      </c>
      <c r="D237">
        <v>208</v>
      </c>
      <c r="E237">
        <v>680914.84595228394</v>
      </c>
      <c r="F237">
        <v>-4997.2159522839356</v>
      </c>
    </row>
    <row r="238" spans="1:6" ht="14.45">
      <c r="A238" s="3">
        <v>46495.4</v>
      </c>
      <c r="B238" s="3">
        <v>721079.35</v>
      </c>
      <c r="D238">
        <v>209</v>
      </c>
      <c r="E238">
        <v>695914.21163161704</v>
      </c>
      <c r="F238">
        <v>114532.31836838298</v>
      </c>
    </row>
    <row r="239" spans="1:6" ht="14.45">
      <c r="A239" s="3">
        <v>72961.95</v>
      </c>
      <c r="B239" s="3">
        <v>810355.02</v>
      </c>
      <c r="D239">
        <v>210</v>
      </c>
      <c r="E239">
        <v>694833.47344861843</v>
      </c>
      <c r="F239">
        <v>-3545.2834486184875</v>
      </c>
    </row>
    <row r="240" spans="1:6" ht="14.45">
      <c r="A240" s="3">
        <v>59060.05</v>
      </c>
      <c r="B240" s="3">
        <v>761919.25</v>
      </c>
      <c r="D240">
        <v>211</v>
      </c>
      <c r="E240">
        <v>790707.99818862299</v>
      </c>
      <c r="F240">
        <v>156125.54181137704</v>
      </c>
    </row>
    <row r="241" spans="1:6" ht="14.45">
      <c r="A241" s="3">
        <v>26248.1</v>
      </c>
      <c r="B241" s="3">
        <v>737070.18</v>
      </c>
      <c r="D241">
        <v>212</v>
      </c>
      <c r="E241">
        <v>665990.6116905082</v>
      </c>
      <c r="F241">
        <v>95972.61830949178</v>
      </c>
    </row>
    <row r="242" spans="1:6" ht="14.45">
      <c r="A242" s="3">
        <v>69900.12</v>
      </c>
      <c r="B242" s="3">
        <v>776992.93</v>
      </c>
      <c r="D242">
        <v>213</v>
      </c>
      <c r="E242">
        <v>669146.02474915131</v>
      </c>
      <c r="F242">
        <v>143006.57525084866</v>
      </c>
    </row>
    <row r="243" spans="1:6" ht="14.45">
      <c r="A243" s="3">
        <v>51781.599999999999</v>
      </c>
      <c r="B243" s="3">
        <v>676337.41</v>
      </c>
      <c r="D243">
        <v>214</v>
      </c>
      <c r="E243">
        <v>649835.01438281348</v>
      </c>
      <c r="F243">
        <v>155140.48561718652</v>
      </c>
    </row>
    <row r="244" spans="1:6" ht="14.45">
      <c r="A244" s="3">
        <v>70799.64</v>
      </c>
      <c r="B244" s="3">
        <v>828219.67</v>
      </c>
      <c r="D244">
        <v>215</v>
      </c>
      <c r="E244">
        <v>635943.98618272447</v>
      </c>
      <c r="F244">
        <v>116377.7338172755</v>
      </c>
    </row>
    <row r="245" spans="1:6" ht="14.45">
      <c r="A245" s="3">
        <v>53546.34</v>
      </c>
      <c r="B245" s="3">
        <v>763159.92</v>
      </c>
      <c r="D245">
        <v>216</v>
      </c>
      <c r="E245">
        <v>661700.24146102602</v>
      </c>
      <c r="F245">
        <v>175207.99853897397</v>
      </c>
    </row>
    <row r="246" spans="1:6" ht="14.45">
      <c r="A246" s="3">
        <v>76942.2</v>
      </c>
      <c r="B246" s="3">
        <v>802001.68</v>
      </c>
      <c r="D246">
        <v>217</v>
      </c>
      <c r="E246">
        <v>708102.51658277819</v>
      </c>
      <c r="F246">
        <v>-33813.416582778213</v>
      </c>
    </row>
    <row r="247" spans="1:6" ht="14.45">
      <c r="A247" s="3">
        <v>48060.78</v>
      </c>
      <c r="B247" s="3">
        <v>750471.34</v>
      </c>
      <c r="D247">
        <v>218</v>
      </c>
      <c r="E247">
        <v>633155.92486809066</v>
      </c>
      <c r="F247">
        <v>-10263.504868090618</v>
      </c>
    </row>
    <row r="248" spans="1:6" ht="14.45">
      <c r="A248" s="3">
        <v>57390.04</v>
      </c>
      <c r="B248" s="3">
        <v>679230.86</v>
      </c>
      <c r="D248">
        <v>219</v>
      </c>
      <c r="E248">
        <v>685965.13384166313</v>
      </c>
      <c r="F248">
        <v>-12616.573841663077</v>
      </c>
    </row>
    <row r="249" spans="1:6" ht="14.45">
      <c r="A249" s="3">
        <v>21536.18</v>
      </c>
      <c r="B249" s="3">
        <v>679888.74</v>
      </c>
      <c r="D249">
        <v>220</v>
      </c>
      <c r="E249">
        <v>595812.79930264573</v>
      </c>
      <c r="F249">
        <v>10465.50069735432</v>
      </c>
    </row>
    <row r="250" spans="1:6" ht="14.45">
      <c r="A250" s="3">
        <v>40923.67</v>
      </c>
      <c r="B250" s="3">
        <v>606783.67000000004</v>
      </c>
      <c r="D250">
        <v>221</v>
      </c>
      <c r="E250">
        <v>674427.94654691254</v>
      </c>
      <c r="F250">
        <v>37791.863453087513</v>
      </c>
    </row>
    <row r="251" spans="1:6" ht="14.45">
      <c r="A251" s="3">
        <v>72932.55</v>
      </c>
      <c r="B251" s="3">
        <v>642751.42000000004</v>
      </c>
      <c r="D251">
        <v>222</v>
      </c>
      <c r="E251">
        <v>618690.37983612448</v>
      </c>
      <c r="F251">
        <v>53980.160163875553</v>
      </c>
    </row>
    <row r="252" spans="1:6" ht="14.45">
      <c r="A252" s="3">
        <v>38361.93</v>
      </c>
      <c r="B252" s="3">
        <v>647953.78</v>
      </c>
      <c r="D252">
        <v>223</v>
      </c>
      <c r="E252">
        <v>703379.54442124953</v>
      </c>
      <c r="F252">
        <v>29288.375578750507</v>
      </c>
    </row>
    <row r="253" spans="1:6" ht="14.45">
      <c r="A253" s="3">
        <v>97480.94</v>
      </c>
      <c r="B253" s="3">
        <v>729440.45</v>
      </c>
      <c r="D253">
        <v>224</v>
      </c>
      <c r="E253">
        <v>717388.42331996735</v>
      </c>
      <c r="F253">
        <v>6142.9766800326761</v>
      </c>
    </row>
    <row r="254" spans="1:6" ht="14.45">
      <c r="A254" s="3">
        <v>81801.8</v>
      </c>
      <c r="B254" s="3">
        <v>764949</v>
      </c>
      <c r="D254">
        <v>225</v>
      </c>
      <c r="E254">
        <v>706040.55527183937</v>
      </c>
      <c r="F254">
        <v>-64475.955271839397</v>
      </c>
    </row>
    <row r="255" spans="1:6" ht="14.45">
      <c r="A255" s="3">
        <v>63582.11</v>
      </c>
      <c r="B255" s="3">
        <v>799046.94</v>
      </c>
      <c r="D255">
        <v>226</v>
      </c>
      <c r="E255">
        <v>682644.38055458595</v>
      </c>
      <c r="F255">
        <v>-146098.89055458596</v>
      </c>
    </row>
    <row r="256" spans="1:6" ht="14.45">
      <c r="A256" s="3">
        <v>75412.740000000005</v>
      </c>
      <c r="B256" s="3">
        <v>720079.54</v>
      </c>
      <c r="D256">
        <v>227</v>
      </c>
      <c r="E256">
        <v>652204.31600503006</v>
      </c>
      <c r="F256">
        <v>-124522.75600503001</v>
      </c>
    </row>
    <row r="257" spans="1:6" ht="14.45">
      <c r="A257" s="3">
        <v>36290.080000000002</v>
      </c>
      <c r="B257" s="3">
        <v>612390.14</v>
      </c>
      <c r="D257">
        <v>228</v>
      </c>
      <c r="E257">
        <v>644557.92672104586</v>
      </c>
      <c r="F257">
        <v>-114958.98672104592</v>
      </c>
    </row>
    <row r="258" spans="1:6" ht="14.45">
      <c r="A258" s="3">
        <v>65272.58</v>
      </c>
      <c r="B258" s="3">
        <v>840108.12</v>
      </c>
      <c r="D258">
        <v>229</v>
      </c>
      <c r="E258">
        <v>640262.10477872519</v>
      </c>
      <c r="F258">
        <v>-69298.794778725132</v>
      </c>
    </row>
    <row r="259" spans="1:6" ht="14.45">
      <c r="A259" s="3">
        <v>28670.43</v>
      </c>
      <c r="B259" s="3">
        <v>697888.09</v>
      </c>
      <c r="D259">
        <v>230</v>
      </c>
      <c r="E259">
        <v>802986.72490819369</v>
      </c>
      <c r="F259">
        <v>67950.675091806334</v>
      </c>
    </row>
    <row r="260" spans="1:6" ht="14.45">
      <c r="A260" s="3">
        <v>44189.34</v>
      </c>
      <c r="B260" s="3">
        <v>746115.59</v>
      </c>
      <c r="D260">
        <v>231</v>
      </c>
      <c r="E260">
        <v>631423.77088813565</v>
      </c>
      <c r="F260">
        <v>-34454.500888135633</v>
      </c>
    </row>
    <row r="261" spans="1:6" ht="14.45">
      <c r="A261" s="3">
        <v>38397.82</v>
      </c>
      <c r="B261" s="3">
        <v>776110.32</v>
      </c>
      <c r="D261">
        <v>232</v>
      </c>
      <c r="E261">
        <v>615758.89162317745</v>
      </c>
      <c r="F261">
        <v>31753.958376822527</v>
      </c>
    </row>
    <row r="262" spans="1:6" ht="14.45">
      <c r="A262" s="3">
        <v>14519.37</v>
      </c>
      <c r="B262" s="3">
        <v>528852.62</v>
      </c>
      <c r="D262">
        <v>233</v>
      </c>
      <c r="E262">
        <v>661382.57270940952</v>
      </c>
      <c r="F262">
        <v>-3310.4327094095061</v>
      </c>
    </row>
    <row r="263" spans="1:6" ht="14.45">
      <c r="A263" s="3">
        <v>43288.2</v>
      </c>
      <c r="B263" s="3">
        <v>605751.32999999996</v>
      </c>
      <c r="D263">
        <v>234</v>
      </c>
      <c r="E263">
        <v>692067.34675985877</v>
      </c>
      <c r="F263">
        <v>31237.763240141212</v>
      </c>
    </row>
    <row r="264" spans="1:6" ht="14.45">
      <c r="A264" s="3">
        <v>51450.55</v>
      </c>
      <c r="B264" s="3">
        <v>677640.65</v>
      </c>
      <c r="D264">
        <v>235</v>
      </c>
      <c r="E264">
        <v>694051.9405991463</v>
      </c>
      <c r="F264">
        <v>-53385.410599146271</v>
      </c>
    </row>
    <row r="265" spans="1:6" ht="14.45">
      <c r="A265" s="3">
        <v>58688.26</v>
      </c>
      <c r="B265" s="3">
        <v>636613.23</v>
      </c>
      <c r="D265">
        <v>236</v>
      </c>
      <c r="E265">
        <v>662878.00309594965</v>
      </c>
      <c r="F265">
        <v>7751.4769040503306</v>
      </c>
    </row>
    <row r="266" spans="1:6" ht="14.45">
      <c r="A266" s="3">
        <v>58981.91</v>
      </c>
      <c r="B266" s="3">
        <v>708985.19</v>
      </c>
      <c r="D266">
        <v>237</v>
      </c>
      <c r="E266">
        <v>659792.80213585717</v>
      </c>
      <c r="F266">
        <v>61286.547864142805</v>
      </c>
    </row>
    <row r="267" spans="1:6" ht="14.45">
      <c r="A267" s="3">
        <v>73454.539999999994</v>
      </c>
      <c r="B267" s="3">
        <v>767792.94</v>
      </c>
      <c r="D267">
        <v>238</v>
      </c>
      <c r="E267">
        <v>716155.31402227969</v>
      </c>
      <c r="F267">
        <v>94199.705977720325</v>
      </c>
    </row>
    <row r="268" spans="1:6" ht="14.45">
      <c r="A268" s="3">
        <v>56602.39</v>
      </c>
      <c r="B268" s="3">
        <v>745580.51</v>
      </c>
      <c r="D268">
        <v>239</v>
      </c>
      <c r="E268">
        <v>686550.17077565868</v>
      </c>
      <c r="F268">
        <v>75369.079224341316</v>
      </c>
    </row>
    <row r="269" spans="1:6" ht="14.45">
      <c r="A269" s="3">
        <v>67722.289999999994</v>
      </c>
      <c r="B269" s="3">
        <v>762328.31</v>
      </c>
      <c r="D269">
        <v>240</v>
      </c>
      <c r="E269">
        <v>616674.65160554764</v>
      </c>
      <c r="F269">
        <v>120395.52839445241</v>
      </c>
    </row>
    <row r="270" spans="1:6" ht="14.45">
      <c r="A270" s="3">
        <v>48752.92</v>
      </c>
      <c r="B270" s="3">
        <v>660633.99</v>
      </c>
      <c r="D270">
        <v>241</v>
      </c>
      <c r="E270">
        <v>709634.91639700532</v>
      </c>
      <c r="F270">
        <v>67358.013602994732</v>
      </c>
    </row>
    <row r="271" spans="1:6" ht="14.45">
      <c r="A271" s="3">
        <v>23914.97</v>
      </c>
      <c r="B271" s="3">
        <v>739374.56</v>
      </c>
      <c r="D271">
        <v>242</v>
      </c>
      <c r="E271">
        <v>671050.16323256248</v>
      </c>
      <c r="F271">
        <v>5287.2467674375512</v>
      </c>
    </row>
    <row r="272" spans="1:6" ht="14.45">
      <c r="A272" s="3">
        <v>61995.3</v>
      </c>
      <c r="B272" s="3">
        <v>799756.46</v>
      </c>
      <c r="D272">
        <v>243</v>
      </c>
      <c r="E272">
        <v>711550.511995679</v>
      </c>
      <c r="F272">
        <v>116669.15800432104</v>
      </c>
    </row>
    <row r="273" spans="1:6" ht="14.45">
      <c r="A273" s="3">
        <v>29344.93</v>
      </c>
      <c r="B273" s="3">
        <v>593343</v>
      </c>
      <c r="D273">
        <v>244</v>
      </c>
      <c r="E273">
        <v>674808.30999617337</v>
      </c>
      <c r="F273">
        <v>88351.610003826674</v>
      </c>
    </row>
    <row r="274" spans="1:6" ht="14.45">
      <c r="A274" s="3">
        <v>50532.17</v>
      </c>
      <c r="B274" s="3">
        <v>645039.97</v>
      </c>
      <c r="D274">
        <v>245</v>
      </c>
      <c r="E274">
        <v>724631.55621991912</v>
      </c>
      <c r="F274">
        <v>77370.123780080932</v>
      </c>
    </row>
    <row r="275" spans="1:6" ht="14.45">
      <c r="A275" s="3">
        <v>17562.57</v>
      </c>
      <c r="B275" s="3">
        <v>561597.32999999996</v>
      </c>
      <c r="D275">
        <v>246</v>
      </c>
      <c r="E275">
        <v>663126.39676215965</v>
      </c>
      <c r="F275">
        <v>87344.943237840314</v>
      </c>
    </row>
    <row r="276" spans="1:6" ht="14.45">
      <c r="A276" s="3">
        <v>47648.71</v>
      </c>
      <c r="B276" s="3">
        <v>635837.74</v>
      </c>
      <c r="D276">
        <v>247</v>
      </c>
      <c r="E276">
        <v>682993.75868283038</v>
      </c>
      <c r="F276">
        <v>-3762.8986828303896</v>
      </c>
    </row>
    <row r="277" spans="1:6" ht="14.45">
      <c r="A277" s="3">
        <v>38297.58</v>
      </c>
      <c r="B277" s="3">
        <v>686737.87</v>
      </c>
      <c r="D277">
        <v>248</v>
      </c>
      <c r="E277">
        <v>606640.26302797056</v>
      </c>
      <c r="F277">
        <v>73248.476972029428</v>
      </c>
    </row>
    <row r="278" spans="1:6" ht="14.45">
      <c r="A278" s="3">
        <v>61784.11</v>
      </c>
      <c r="B278" s="3">
        <v>673076.34</v>
      </c>
      <c r="D278">
        <v>249</v>
      </c>
      <c r="E278">
        <v>647927.38339586509</v>
      </c>
      <c r="F278">
        <v>-41143.713395865052</v>
      </c>
    </row>
    <row r="279" spans="1:6" ht="14.45">
      <c r="A279" s="3">
        <v>36832.33</v>
      </c>
      <c r="B279" s="3">
        <v>738548.42</v>
      </c>
      <c r="D279">
        <v>250</v>
      </c>
      <c r="E279">
        <v>716092.7045076486</v>
      </c>
      <c r="F279">
        <v>-73341.284507648554</v>
      </c>
    </row>
    <row r="280" spans="1:6" ht="14.45">
      <c r="A280" s="3">
        <v>48609.41</v>
      </c>
      <c r="B280" s="3">
        <v>756619.77</v>
      </c>
      <c r="D280">
        <v>251</v>
      </c>
      <c r="E280">
        <v>642471.96509616508</v>
      </c>
      <c r="F280">
        <v>5481.8149038349511</v>
      </c>
    </row>
    <row r="281" spans="1:6" ht="14.45">
      <c r="A281" s="3">
        <v>70284.06</v>
      </c>
      <c r="B281" s="3">
        <v>761122.42</v>
      </c>
      <c r="D281">
        <v>252</v>
      </c>
      <c r="E281">
        <v>768370.35018370138</v>
      </c>
      <c r="F281">
        <v>-38929.900183701422</v>
      </c>
    </row>
    <row r="282" spans="1:6" ht="14.45">
      <c r="A282" s="3">
        <v>45940.39</v>
      </c>
      <c r="B282" s="3">
        <v>524899.56999999995</v>
      </c>
      <c r="D282">
        <v>253</v>
      </c>
      <c r="E282">
        <v>734980.44048187463</v>
      </c>
      <c r="F282">
        <v>29968.559518125374</v>
      </c>
    </row>
    <row r="283" spans="1:6" ht="14.45">
      <c r="A283" s="3">
        <v>34771.26</v>
      </c>
      <c r="B283" s="3">
        <v>555557.77</v>
      </c>
      <c r="D283">
        <v>254</v>
      </c>
      <c r="E283">
        <v>696180.23818153958</v>
      </c>
      <c r="F283">
        <v>102866.70181846037</v>
      </c>
    </row>
    <row r="284" spans="1:6" ht="14.45">
      <c r="A284" s="3">
        <v>66104.19</v>
      </c>
      <c r="B284" s="3">
        <v>714083.68</v>
      </c>
      <c r="D284">
        <v>255</v>
      </c>
      <c r="E284">
        <v>721374.4559393836</v>
      </c>
      <c r="F284">
        <v>-1294.915939383558</v>
      </c>
    </row>
    <row r="285" spans="1:6" ht="14.45">
      <c r="A285" s="3">
        <v>18599.21</v>
      </c>
      <c r="B285" s="3">
        <v>497439.82</v>
      </c>
      <c r="D285">
        <v>256</v>
      </c>
      <c r="E285">
        <v>638059.8044536981</v>
      </c>
      <c r="F285">
        <v>-25669.664453698089</v>
      </c>
    </row>
    <row r="286" spans="1:6" ht="14.45">
      <c r="A286" s="3">
        <v>60183.06</v>
      </c>
      <c r="B286" s="3">
        <v>636775.66</v>
      </c>
      <c r="D286">
        <v>257</v>
      </c>
      <c r="E286">
        <v>699780.22138557024</v>
      </c>
      <c r="F286">
        <v>140327.89861442975</v>
      </c>
    </row>
    <row r="287" spans="1:6" ht="14.45">
      <c r="A287" s="3">
        <v>74539.14</v>
      </c>
      <c r="B287" s="3">
        <v>633009.53</v>
      </c>
      <c r="D287">
        <v>258</v>
      </c>
      <c r="E287">
        <v>621833.18580882833</v>
      </c>
      <c r="F287">
        <v>76054.904191171634</v>
      </c>
    </row>
    <row r="288" spans="1:6" ht="14.45">
      <c r="A288" s="3">
        <v>55371.97</v>
      </c>
      <c r="B288" s="3">
        <v>609949</v>
      </c>
      <c r="D288">
        <v>259</v>
      </c>
      <c r="E288">
        <v>654881.87365591538</v>
      </c>
      <c r="F288">
        <v>91233.716344084591</v>
      </c>
    </row>
    <row r="289" spans="1:6" ht="14.45">
      <c r="A289" s="3">
        <v>40928.69</v>
      </c>
      <c r="B289" s="3">
        <v>548103.69999999995</v>
      </c>
      <c r="D289">
        <v>260</v>
      </c>
      <c r="E289">
        <v>642548.39555467223</v>
      </c>
      <c r="F289">
        <v>133561.92444532772</v>
      </c>
    </row>
    <row r="290" spans="1:6" ht="14.45">
      <c r="A290" s="3">
        <v>70012.41</v>
      </c>
      <c r="B290" s="3">
        <v>729424.42</v>
      </c>
      <c r="D290">
        <v>261</v>
      </c>
      <c r="E290">
        <v>591697.43757358496</v>
      </c>
      <c r="F290">
        <v>-62844.817573584965</v>
      </c>
    </row>
    <row r="291" spans="1:6" ht="14.45">
      <c r="A291" s="3">
        <v>68909.259999999995</v>
      </c>
      <c r="B291" s="3">
        <v>696261.49</v>
      </c>
      <c r="D291">
        <v>262</v>
      </c>
      <c r="E291">
        <v>652962.82814521098</v>
      </c>
      <c r="F291">
        <v>-47211.498145211022</v>
      </c>
    </row>
    <row r="292" spans="1:6" ht="14.45">
      <c r="A292" s="3">
        <v>56737.3</v>
      </c>
      <c r="B292" s="3">
        <v>813316.71</v>
      </c>
      <c r="D292">
        <v>263</v>
      </c>
      <c r="E292">
        <v>670345.16732036392</v>
      </c>
      <c r="F292">
        <v>7295.4826796361012</v>
      </c>
    </row>
    <row r="293" spans="1:6" ht="14.45">
      <c r="A293" s="3">
        <v>54080.91</v>
      </c>
      <c r="B293" s="3">
        <v>702068.92</v>
      </c>
      <c r="D293">
        <v>264</v>
      </c>
      <c r="E293">
        <v>685758.41596461402</v>
      </c>
      <c r="F293">
        <v>-49145.185964614036</v>
      </c>
    </row>
    <row r="294" spans="1:6" ht="14.45">
      <c r="A294" s="3">
        <v>51996.32</v>
      </c>
      <c r="B294" s="3">
        <v>546223.69999999995</v>
      </c>
      <c r="D294">
        <v>265</v>
      </c>
      <c r="E294">
        <v>686383.76575956075</v>
      </c>
      <c r="F294">
        <v>22601.424240439199</v>
      </c>
    </row>
    <row r="295" spans="1:6" ht="14.45">
      <c r="A295" s="3">
        <v>40102.879999999997</v>
      </c>
      <c r="B295" s="3">
        <v>533121.26</v>
      </c>
      <c r="D295">
        <v>266</v>
      </c>
      <c r="E295">
        <v>717204.32153289719</v>
      </c>
      <c r="F295">
        <v>50588.618467102759</v>
      </c>
    </row>
    <row r="296" spans="1:6" ht="14.45">
      <c r="A296" s="3">
        <v>59825.51</v>
      </c>
      <c r="B296" s="3">
        <v>498970.32</v>
      </c>
      <c r="D296">
        <v>267</v>
      </c>
      <c r="E296">
        <v>681316.3986760542</v>
      </c>
      <c r="F296">
        <v>64264.111323945806</v>
      </c>
    </row>
    <row r="297" spans="1:6" ht="14.45">
      <c r="A297" s="3">
        <v>27398.28</v>
      </c>
      <c r="B297" s="3">
        <v>487738.26</v>
      </c>
      <c r="D297">
        <v>268</v>
      </c>
      <c r="E297">
        <v>704997.06336132041</v>
      </c>
      <c r="F297">
        <v>57331.246638679644</v>
      </c>
    </row>
    <row r="298" spans="1:6" ht="14.45">
      <c r="A298" s="3">
        <v>55599.56</v>
      </c>
      <c r="B298" s="3">
        <v>668459.37</v>
      </c>
      <c r="D298">
        <v>269</v>
      </c>
      <c r="E298">
        <v>664600.3610293977</v>
      </c>
      <c r="F298">
        <v>-3966.3710293977056</v>
      </c>
    </row>
    <row r="299" spans="1:6" ht="14.45">
      <c r="A299" s="3">
        <v>55477.61</v>
      </c>
      <c r="B299" s="3">
        <v>763162.45</v>
      </c>
      <c r="D299">
        <v>270</v>
      </c>
      <c r="E299">
        <v>611706.07552148798</v>
      </c>
      <c r="F299">
        <v>127668.48447851208</v>
      </c>
    </row>
    <row r="300" spans="1:6" ht="14.45">
      <c r="A300" s="3">
        <v>46174.7</v>
      </c>
      <c r="B300" s="3">
        <v>599017.32999999996</v>
      </c>
      <c r="D300">
        <v>271</v>
      </c>
      <c r="E300">
        <v>692801.00675596669</v>
      </c>
      <c r="F300">
        <v>106955.45324403327</v>
      </c>
    </row>
    <row r="301" spans="1:6" ht="14.45">
      <c r="A301" s="3">
        <v>24362.98</v>
      </c>
      <c r="B301" s="3">
        <v>401582.58</v>
      </c>
      <c r="D301">
        <v>272</v>
      </c>
      <c r="E301">
        <v>623269.58436728758</v>
      </c>
      <c r="F301">
        <v>-29926.584367287578</v>
      </c>
    </row>
    <row r="302" spans="1:6" ht="14.45">
      <c r="A302" s="3">
        <v>40647.67</v>
      </c>
      <c r="B302" s="3">
        <v>703812.99</v>
      </c>
      <c r="D302">
        <v>273</v>
      </c>
      <c r="E302">
        <v>668389.40793101187</v>
      </c>
      <c r="F302">
        <v>-23349.437931011897</v>
      </c>
    </row>
    <row r="303" spans="1:6" ht="14.45">
      <c r="A303" s="3">
        <v>63986.98</v>
      </c>
      <c r="B303" s="3">
        <v>724346.73</v>
      </c>
      <c r="D303">
        <v>274</v>
      </c>
      <c r="E303">
        <v>598178.16121050634</v>
      </c>
      <c r="F303">
        <v>-36580.831210506381</v>
      </c>
    </row>
    <row r="304" spans="1:6" ht="14.45">
      <c r="A304" s="3">
        <v>52843.75</v>
      </c>
      <c r="B304" s="3">
        <v>730890.01</v>
      </c>
      <c r="D304">
        <v>275</v>
      </c>
      <c r="E304">
        <v>662248.86265691975</v>
      </c>
      <c r="F304">
        <v>-26411.122656919761</v>
      </c>
    </row>
    <row r="305" spans="1:6" ht="14.45">
      <c r="A305" s="3">
        <v>31997.25</v>
      </c>
      <c r="B305" s="3">
        <v>780580.95</v>
      </c>
      <c r="D305">
        <v>276</v>
      </c>
      <c r="E305">
        <v>642334.92692383472</v>
      </c>
      <c r="F305">
        <v>44402.943076165277</v>
      </c>
    </row>
    <row r="306" spans="1:6" ht="14.45">
      <c r="A306" s="3">
        <v>54948.02</v>
      </c>
      <c r="B306" s="3">
        <v>727957.48</v>
      </c>
      <c r="D306">
        <v>277</v>
      </c>
      <c r="E306">
        <v>692351.26174253295</v>
      </c>
      <c r="F306">
        <v>-19274.921742532984</v>
      </c>
    </row>
    <row r="307" spans="1:6" ht="14.45">
      <c r="A307" s="3">
        <v>46146.239999999998</v>
      </c>
      <c r="B307" s="3">
        <v>538376</v>
      </c>
      <c r="D307">
        <v>278</v>
      </c>
      <c r="E307">
        <v>639214.56667508371</v>
      </c>
      <c r="F307">
        <v>99333.85332491633</v>
      </c>
    </row>
    <row r="308" spans="1:6" ht="14.45">
      <c r="A308" s="3">
        <v>22387.26</v>
      </c>
      <c r="B308" s="3">
        <v>665342.49</v>
      </c>
      <c r="D308">
        <v>279</v>
      </c>
      <c r="E308">
        <v>664294.74567413528</v>
      </c>
      <c r="F308">
        <v>92325.024325864739</v>
      </c>
    </row>
    <row r="309" spans="1:6" ht="14.45">
      <c r="A309" s="3">
        <v>60684.05</v>
      </c>
      <c r="B309" s="3">
        <v>651164.18000000005</v>
      </c>
      <c r="D309">
        <v>280</v>
      </c>
      <c r="E309">
        <v>710452.54554828024</v>
      </c>
      <c r="F309">
        <v>50669.874451719807</v>
      </c>
    </row>
    <row r="310" spans="1:6" ht="14.45">
      <c r="A310" s="3">
        <v>48465.599999999999</v>
      </c>
      <c r="B310" s="3">
        <v>628538.30000000005</v>
      </c>
      <c r="D310">
        <v>281</v>
      </c>
      <c r="E310">
        <v>658610.86653329153</v>
      </c>
      <c r="F310">
        <v>-133711.29653329158</v>
      </c>
    </row>
    <row r="311" spans="1:6" ht="14.45">
      <c r="A311" s="3">
        <v>23702.38</v>
      </c>
      <c r="B311" s="3">
        <v>536524.84</v>
      </c>
      <c r="D311">
        <v>282</v>
      </c>
      <c r="E311">
        <v>634825.36285464815</v>
      </c>
      <c r="F311">
        <v>-79267.59285464813</v>
      </c>
    </row>
    <row r="312" spans="1:6" ht="14.45">
      <c r="A312" s="3">
        <v>54322.94</v>
      </c>
      <c r="B312" s="3">
        <v>621677.30000000005</v>
      </c>
      <c r="D312">
        <v>283</v>
      </c>
      <c r="E312">
        <v>701551.19752374734</v>
      </c>
      <c r="F312">
        <v>12532.482476252713</v>
      </c>
    </row>
    <row r="313" spans="1:6" ht="14.45">
      <c r="A313" s="3">
        <v>86026.58</v>
      </c>
      <c r="B313" s="3">
        <v>771129.07</v>
      </c>
      <c r="D313">
        <v>284</v>
      </c>
      <c r="E313">
        <v>600385.76417809899</v>
      </c>
      <c r="F313">
        <v>-102945.94417809899</v>
      </c>
    </row>
    <row r="314" spans="1:6" ht="14.45">
      <c r="A314" s="3">
        <v>78967.520000000004</v>
      </c>
      <c r="B314" s="3">
        <v>702052.47</v>
      </c>
      <c r="D314">
        <v>285</v>
      </c>
      <c r="E314">
        <v>688941.70516429527</v>
      </c>
      <c r="F314">
        <v>-52166.045164295239</v>
      </c>
    </row>
    <row r="315" spans="1:6" ht="14.45">
      <c r="A315" s="3">
        <v>46767.99</v>
      </c>
      <c r="B315" s="3">
        <v>688368.46</v>
      </c>
      <c r="D315">
        <v>286</v>
      </c>
      <c r="E315">
        <v>719514.05893320113</v>
      </c>
      <c r="F315">
        <v>-86504.528933201102</v>
      </c>
    </row>
    <row r="316" spans="1:6" ht="14.45">
      <c r="A316" s="3">
        <v>62507.16</v>
      </c>
      <c r="B316" s="3">
        <v>712375.77</v>
      </c>
      <c r="D316">
        <v>287</v>
      </c>
      <c r="E316">
        <v>678696.12660148111</v>
      </c>
      <c r="F316">
        <v>-68747.126601481112</v>
      </c>
    </row>
    <row r="317" spans="1:6" ht="14.45">
      <c r="A317" s="3">
        <v>66456.28</v>
      </c>
      <c r="B317" s="3">
        <v>844710.67</v>
      </c>
      <c r="D317">
        <v>288</v>
      </c>
      <c r="E317">
        <v>647938.07386400958</v>
      </c>
      <c r="F317">
        <v>-99834.373864009627</v>
      </c>
    </row>
    <row r="318" spans="1:6" ht="14.45">
      <c r="A318" s="3">
        <v>76614.320000000007</v>
      </c>
      <c r="B318" s="3">
        <v>620264.19999999995</v>
      </c>
      <c r="D318">
        <v>289</v>
      </c>
      <c r="E318">
        <v>709874.04641054035</v>
      </c>
      <c r="F318">
        <v>19550.37358945969</v>
      </c>
    </row>
    <row r="319" spans="1:6" ht="14.45">
      <c r="A319" s="3">
        <v>24088.06</v>
      </c>
      <c r="B319" s="3">
        <v>536845.42000000004</v>
      </c>
      <c r="D319">
        <v>290</v>
      </c>
      <c r="E319">
        <v>707524.80538790964</v>
      </c>
      <c r="F319">
        <v>-11263.31538790965</v>
      </c>
    </row>
    <row r="320" spans="1:6" ht="14.45">
      <c r="A320" s="3">
        <v>81902.58</v>
      </c>
      <c r="B320" s="3">
        <v>726776.22</v>
      </c>
      <c r="D320">
        <v>291</v>
      </c>
      <c r="E320">
        <v>681603.69968349941</v>
      </c>
      <c r="F320">
        <v>131713.01031650056</v>
      </c>
    </row>
    <row r="321" spans="1:6" ht="14.45">
      <c r="A321" s="3">
        <v>40553.11</v>
      </c>
      <c r="B321" s="3">
        <v>559660.84</v>
      </c>
      <c r="D321">
        <v>292</v>
      </c>
      <c r="E321">
        <v>675946.71707904304</v>
      </c>
      <c r="F321">
        <v>26122.202920957003</v>
      </c>
    </row>
    <row r="322" spans="1:6">
      <c r="D322">
        <v>293</v>
      </c>
      <c r="E322">
        <v>671507.42564690253</v>
      </c>
      <c r="F322">
        <v>-125283.72564690257</v>
      </c>
    </row>
    <row r="323" spans="1:6">
      <c r="D323">
        <v>294</v>
      </c>
      <c r="E323">
        <v>646179.44926273264</v>
      </c>
      <c r="F323">
        <v>-113058.18926273263</v>
      </c>
    </row>
    <row r="324" spans="1:6">
      <c r="D324">
        <v>295</v>
      </c>
      <c r="E324">
        <v>688180.27550591552</v>
      </c>
      <c r="F324">
        <v>-189209.95550591551</v>
      </c>
    </row>
    <row r="325" spans="1:6">
      <c r="D325">
        <v>296</v>
      </c>
      <c r="E325">
        <v>619124.04655583482</v>
      </c>
      <c r="F325">
        <v>-131385.78655583481</v>
      </c>
    </row>
    <row r="326" spans="1:6">
      <c r="D326">
        <v>297</v>
      </c>
      <c r="E326">
        <v>679180.79665028735</v>
      </c>
      <c r="F326">
        <v>-10721.426650287351</v>
      </c>
    </row>
    <row r="327" spans="1:6">
      <c r="D327">
        <v>298</v>
      </c>
      <c r="E327">
        <v>678921.09493908775</v>
      </c>
      <c r="F327">
        <v>84241.355060912203</v>
      </c>
    </row>
    <row r="328" spans="1:6">
      <c r="D328">
        <v>299</v>
      </c>
      <c r="E328">
        <v>659109.84732829907</v>
      </c>
      <c r="F328">
        <v>-60092.517328299116</v>
      </c>
    </row>
    <row r="329" spans="1:6">
      <c r="D329">
        <v>300</v>
      </c>
      <c r="E329">
        <v>612660.14656400145</v>
      </c>
      <c r="F329">
        <v>-211077.56656400143</v>
      </c>
    </row>
    <row r="330" spans="1:6">
      <c r="D330">
        <v>301</v>
      </c>
      <c r="E330">
        <v>647339.62060545024</v>
      </c>
      <c r="F330">
        <v>56473.369394549751</v>
      </c>
    </row>
    <row r="331" spans="1:6">
      <c r="D331">
        <v>302</v>
      </c>
      <c r="E331">
        <v>697042.4393444208</v>
      </c>
      <c r="F331">
        <v>27304.290655579185</v>
      </c>
    </row>
    <row r="332" spans="1:6">
      <c r="D332">
        <v>303</v>
      </c>
      <c r="E332">
        <v>673312.09166676202</v>
      </c>
      <c r="F332">
        <v>57577.918333237991</v>
      </c>
    </row>
    <row r="333" spans="1:6">
      <c r="D333">
        <v>304</v>
      </c>
      <c r="E333">
        <v>628917.89960016066</v>
      </c>
      <c r="F333">
        <v>151663.0503998393</v>
      </c>
    </row>
    <row r="334" spans="1:6">
      <c r="D334">
        <v>305</v>
      </c>
      <c r="E334">
        <v>677793.29314134945</v>
      </c>
      <c r="F334">
        <v>50164.18685865053</v>
      </c>
    </row>
    <row r="335" spans="1:6">
      <c r="D335">
        <v>306</v>
      </c>
      <c r="E335">
        <v>659049.23961447587</v>
      </c>
      <c r="F335">
        <v>-120673.23961447587</v>
      </c>
    </row>
    <row r="336" spans="1:6">
      <c r="D336">
        <v>307</v>
      </c>
      <c r="E336">
        <v>608452.7019977757</v>
      </c>
      <c r="F336">
        <v>56889.78800222429</v>
      </c>
    </row>
    <row r="337" spans="4:6">
      <c r="D337">
        <v>308</v>
      </c>
      <c r="E337">
        <v>690008.60110766452</v>
      </c>
      <c r="F337">
        <v>-38844.421107664471</v>
      </c>
    </row>
    <row r="338" spans="4:6">
      <c r="D338">
        <v>309</v>
      </c>
      <c r="E338">
        <v>663988.49144627457</v>
      </c>
      <c r="F338">
        <v>-35450.191446274519</v>
      </c>
    </row>
    <row r="339" spans="4:6">
      <c r="D339">
        <v>310</v>
      </c>
      <c r="E339">
        <v>611253.34910259559</v>
      </c>
      <c r="F339">
        <v>-74728.509102595621</v>
      </c>
    </row>
    <row r="340" spans="4:6">
      <c r="D340">
        <v>311</v>
      </c>
      <c r="E340">
        <v>676462.13819557964</v>
      </c>
      <c r="F340">
        <v>-54784.838195579592</v>
      </c>
    </row>
    <row r="341" spans="4:6">
      <c r="D341">
        <v>312</v>
      </c>
      <c r="E341">
        <v>743977.42773436964</v>
      </c>
      <c r="F341">
        <v>27151.642265630304</v>
      </c>
    </row>
    <row r="342" spans="4:6">
      <c r="D342">
        <v>313</v>
      </c>
      <c r="E342">
        <v>728944.62772239337</v>
      </c>
      <c r="F342">
        <v>-26892.1577223934</v>
      </c>
    </row>
    <row r="343" spans="4:6">
      <c r="D343">
        <v>314</v>
      </c>
      <c r="E343">
        <v>660373.30307440483</v>
      </c>
      <c r="F343">
        <v>27995.156925595133</v>
      </c>
    </row>
    <row r="344" spans="4:6">
      <c r="D344">
        <v>315</v>
      </c>
      <c r="E344">
        <v>693891.05118314689</v>
      </c>
      <c r="F344">
        <v>18484.718816853128</v>
      </c>
    </row>
    <row r="345" spans="4:6">
      <c r="D345">
        <v>316</v>
      </c>
      <c r="E345">
        <v>702300.99970083835</v>
      </c>
      <c r="F345">
        <v>142409.67029916169</v>
      </c>
    </row>
    <row r="346" spans="4:6">
      <c r="D346">
        <v>317</v>
      </c>
      <c r="E346">
        <v>723933.31106150895</v>
      </c>
      <c r="F346">
        <v>-103669.111061509</v>
      </c>
    </row>
    <row r="347" spans="4:6">
      <c r="D347">
        <v>318</v>
      </c>
      <c r="E347">
        <v>612074.68371494045</v>
      </c>
      <c r="F347">
        <v>-75229.263714940404</v>
      </c>
    </row>
    <row r="348" spans="4:6">
      <c r="D348">
        <v>319</v>
      </c>
      <c r="E348">
        <v>735195.05908338912</v>
      </c>
      <c r="F348">
        <v>-8418.8390833891463</v>
      </c>
    </row>
    <row r="349" spans="4:6" ht="14.45" thickBot="1">
      <c r="D349" s="7">
        <v>320</v>
      </c>
      <c r="E349" s="7">
        <v>647138.24796247343</v>
      </c>
      <c r="F349" s="7">
        <v>-87477.407962473459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3455-1136-4A33-A4C9-E363C5D852E2}">
  <dimension ref="A1:L350"/>
  <sheetViews>
    <sheetView topLeftCell="D8" workbookViewId="0">
      <selection activeCell="H18" sqref="H18"/>
    </sheetView>
  </sheetViews>
  <sheetFormatPr defaultRowHeight="13.9"/>
  <cols>
    <col min="1" max="2" width="16" customWidth="1"/>
    <col min="4" max="4" width="18.25" bestFit="1" customWidth="1"/>
    <col min="5" max="5" width="20.625" customWidth="1"/>
    <col min="6" max="6" width="12.625" customWidth="1"/>
    <col min="8" max="8" width="8.25" customWidth="1"/>
    <col min="9" max="9" width="10.5" customWidth="1"/>
    <col min="10" max="10" width="10.25" customWidth="1"/>
    <col min="11" max="11" width="10.75" customWidth="1"/>
    <col min="12" max="12" width="10.5" customWidth="1"/>
  </cols>
  <sheetData>
    <row r="1" spans="1:5" ht="14.45">
      <c r="A1" s="2" t="s">
        <v>13</v>
      </c>
      <c r="B1" s="2" t="s">
        <v>23</v>
      </c>
    </row>
    <row r="2" spans="1:5" ht="14.45">
      <c r="A2" s="3">
        <v>658832.62</v>
      </c>
      <c r="B2" s="3">
        <v>4.2000000000000003E-2</v>
      </c>
    </row>
    <row r="3" spans="1:5" ht="14.45">
      <c r="A3" s="3">
        <v>634436</v>
      </c>
      <c r="B3" s="3">
        <v>0.16800000000000001</v>
      </c>
    </row>
    <row r="4" spans="1:5" ht="14.45">
      <c r="A4" s="3">
        <v>678722.06</v>
      </c>
      <c r="B4" s="3">
        <v>0.13300000000000001</v>
      </c>
    </row>
    <row r="5" spans="1:5" ht="14.45">
      <c r="A5" s="3">
        <v>658920.30000000005</v>
      </c>
      <c r="B5" s="3">
        <v>0.14199999999999999</v>
      </c>
    </row>
    <row r="6" spans="1:5" ht="14.45">
      <c r="A6" s="3">
        <v>741341.44</v>
      </c>
      <c r="B6" s="3">
        <v>0.23100000000000001</v>
      </c>
    </row>
    <row r="7" spans="1:5" ht="14.45">
      <c r="A7" s="3">
        <v>761835.34</v>
      </c>
      <c r="B7" s="3">
        <v>0.112</v>
      </c>
      <c r="D7" t="s">
        <v>143</v>
      </c>
    </row>
    <row r="8" spans="1:5" ht="15" thickBot="1">
      <c r="A8" s="3">
        <v>806615.54</v>
      </c>
      <c r="B8" s="3">
        <v>0.122</v>
      </c>
    </row>
    <row r="9" spans="1:5" ht="14.45">
      <c r="A9" s="3">
        <v>850164.26</v>
      </c>
      <c r="B9" s="3">
        <v>0.127</v>
      </c>
      <c r="D9" s="9" t="s">
        <v>144</v>
      </c>
      <c r="E9" s="9"/>
    </row>
    <row r="10" spans="1:5" ht="14.45">
      <c r="A10" s="3">
        <v>930581.7</v>
      </c>
      <c r="B10" s="3">
        <v>0.215</v>
      </c>
      <c r="D10" t="s">
        <v>145</v>
      </c>
      <c r="E10">
        <v>9.1052199448449889E-2</v>
      </c>
    </row>
    <row r="11" spans="1:5" ht="14.45">
      <c r="A11" s="3">
        <v>779010.94</v>
      </c>
      <c r="B11" s="3">
        <v>0.22</v>
      </c>
      <c r="D11" t="s">
        <v>146</v>
      </c>
      <c r="E11">
        <v>8.2905030244002989E-3</v>
      </c>
    </row>
    <row r="12" spans="1:5" ht="14.45">
      <c r="A12" s="3">
        <v>723060.76</v>
      </c>
      <c r="B12" s="3">
        <v>0.21299999999999999</v>
      </c>
      <c r="D12" t="s">
        <v>147</v>
      </c>
      <c r="E12">
        <v>5.171919700577658E-3</v>
      </c>
    </row>
    <row r="13" spans="1:5" ht="14.45">
      <c r="A13" s="3">
        <v>910791.94</v>
      </c>
      <c r="B13" s="3">
        <v>2E-3</v>
      </c>
      <c r="D13" t="s">
        <v>148</v>
      </c>
      <c r="E13">
        <v>103502.94470614102</v>
      </c>
    </row>
    <row r="14" spans="1:5" ht="15" thickBot="1">
      <c r="A14" s="3">
        <v>922168.6</v>
      </c>
      <c r="B14" s="3">
        <v>0.11600000000000001</v>
      </c>
      <c r="D14" s="7" t="s">
        <v>149</v>
      </c>
      <c r="E14" s="7">
        <v>320</v>
      </c>
    </row>
    <row r="15" spans="1:5" ht="14.45">
      <c r="A15" s="3">
        <v>726606.28</v>
      </c>
      <c r="B15" s="3">
        <v>0.14599999999999999</v>
      </c>
    </row>
    <row r="16" spans="1:5" ht="15" thickBot="1">
      <c r="A16" s="3">
        <v>746501.09</v>
      </c>
      <c r="B16" s="3">
        <v>0.22800000000000001</v>
      </c>
      <c r="D16" t="s">
        <v>150</v>
      </c>
    </row>
    <row r="17" spans="1:12" ht="14.45">
      <c r="A17" s="3">
        <v>834017.02</v>
      </c>
      <c r="B17" s="3">
        <v>6.0000000000000001E-3</v>
      </c>
      <c r="D17" s="8"/>
      <c r="E17" s="8" t="s">
        <v>151</v>
      </c>
      <c r="F17" s="8" t="s">
        <v>152</v>
      </c>
      <c r="G17" s="8" t="s">
        <v>153</v>
      </c>
      <c r="H17" s="8" t="s">
        <v>154</v>
      </c>
      <c r="I17" s="8" t="s">
        <v>155</v>
      </c>
    </row>
    <row r="18" spans="1:12" ht="14.45">
      <c r="A18" s="3">
        <v>666152.52</v>
      </c>
      <c r="B18" s="3">
        <v>5.0000000000000001E-3</v>
      </c>
      <c r="D18" t="s">
        <v>156</v>
      </c>
      <c r="E18">
        <v>1</v>
      </c>
      <c r="F18">
        <v>28479275806.828613</v>
      </c>
      <c r="G18">
        <v>28479275806.828613</v>
      </c>
      <c r="H18">
        <v>2.658419597472264</v>
      </c>
      <c r="I18">
        <v>0.10399304641903476</v>
      </c>
    </row>
    <row r="19" spans="1:12" ht="14.45">
      <c r="A19" s="3">
        <v>573155.18999999994</v>
      </c>
      <c r="B19" s="3">
        <v>0.11899999999999999</v>
      </c>
      <c r="D19" t="s">
        <v>157</v>
      </c>
      <c r="E19">
        <v>318</v>
      </c>
      <c r="F19">
        <v>3406689340983.9106</v>
      </c>
      <c r="G19">
        <v>10712859562.842485</v>
      </c>
    </row>
    <row r="20" spans="1:12" ht="15" thickBot="1">
      <c r="A20" s="3">
        <v>666573.19999999995</v>
      </c>
      <c r="B20" s="3">
        <v>0</v>
      </c>
      <c r="D20" s="7" t="s">
        <v>158</v>
      </c>
      <c r="E20" s="7">
        <v>319</v>
      </c>
      <c r="F20" s="7">
        <v>3435168616790.7393</v>
      </c>
      <c r="G20" s="7"/>
      <c r="H20" s="7"/>
      <c r="I20" s="7"/>
    </row>
    <row r="21" spans="1:12" ht="15" thickBot="1">
      <c r="A21" s="3">
        <v>591619.94999999995</v>
      </c>
      <c r="B21" s="3">
        <v>0.158</v>
      </c>
    </row>
    <row r="22" spans="1:12" ht="14.45">
      <c r="A22" s="3">
        <v>415721.82</v>
      </c>
      <c r="B22" s="3">
        <v>0.23100000000000001</v>
      </c>
      <c r="D22" s="8"/>
      <c r="E22" s="8" t="s">
        <v>159</v>
      </c>
      <c r="F22" s="8" t="s">
        <v>148</v>
      </c>
      <c r="G22" s="8" t="s">
        <v>160</v>
      </c>
      <c r="H22" s="8" t="s">
        <v>7</v>
      </c>
      <c r="I22" s="8" t="s">
        <v>161</v>
      </c>
      <c r="J22" s="8" t="s">
        <v>162</v>
      </c>
      <c r="K22" s="8" t="s">
        <v>163</v>
      </c>
      <c r="L22" s="8" t="s">
        <v>164</v>
      </c>
    </row>
    <row r="23" spans="1:12" ht="14.45">
      <c r="A23" s="3">
        <v>491905.13</v>
      </c>
      <c r="B23" s="3">
        <v>0.17599999999999999</v>
      </c>
      <c r="D23" t="s">
        <v>165</v>
      </c>
      <c r="E23">
        <v>697835.62958654074</v>
      </c>
      <c r="F23">
        <v>12035.418765239492</v>
      </c>
      <c r="G23">
        <v>57.981832057395351</v>
      </c>
      <c r="H23">
        <v>3.8725943752004609E-171</v>
      </c>
      <c r="I23">
        <v>674156.52149354888</v>
      </c>
      <c r="J23">
        <v>721514.73767953261</v>
      </c>
      <c r="K23">
        <v>674156.52149354888</v>
      </c>
      <c r="L23">
        <v>721514.73767953261</v>
      </c>
    </row>
    <row r="24" spans="1:12" ht="15" thickBot="1">
      <c r="A24" s="3">
        <v>555929.4</v>
      </c>
      <c r="B24" s="3">
        <v>0.16</v>
      </c>
      <c r="D24" s="7" t="s">
        <v>23</v>
      </c>
      <c r="E24" s="7">
        <v>-138730.45471638071</v>
      </c>
      <c r="F24" s="7">
        <v>85086.379579668472</v>
      </c>
      <c r="G24" s="7">
        <v>-1.6304660675623643</v>
      </c>
      <c r="H24" s="7">
        <v>0.10399304641903374</v>
      </c>
      <c r="I24" s="7">
        <v>-306133.81795682968</v>
      </c>
      <c r="J24" s="7">
        <v>28672.908524068218</v>
      </c>
      <c r="K24" s="7">
        <v>-306133.81795682968</v>
      </c>
      <c r="L24" s="7">
        <v>28672.908524068218</v>
      </c>
    </row>
    <row r="25" spans="1:12" ht="14.45">
      <c r="A25" s="3">
        <v>565810.99</v>
      </c>
      <c r="B25" s="3">
        <v>0.216</v>
      </c>
    </row>
    <row r="26" spans="1:12" ht="14.45">
      <c r="A26" s="3">
        <v>811771.14</v>
      </c>
      <c r="B26" s="3">
        <v>0.121</v>
      </c>
    </row>
    <row r="27" spans="1:12" ht="14.45">
      <c r="A27" s="3">
        <v>800451.94</v>
      </c>
      <c r="B27" s="3">
        <v>0.14000000000000001</v>
      </c>
    </row>
    <row r="28" spans="1:12" ht="14.45">
      <c r="A28" s="3">
        <v>783672.82</v>
      </c>
      <c r="B28" s="3">
        <v>0.16900000000000001</v>
      </c>
      <c r="D28" t="s">
        <v>166</v>
      </c>
    </row>
    <row r="29" spans="1:12" ht="15" thickBot="1">
      <c r="A29" s="3">
        <v>701641.97</v>
      </c>
      <c r="B29" s="3">
        <v>0.122</v>
      </c>
    </row>
    <row r="30" spans="1:12" ht="14.45">
      <c r="A30" s="3">
        <v>511844.41</v>
      </c>
      <c r="B30" s="3">
        <v>0.124</v>
      </c>
      <c r="D30" s="8" t="s">
        <v>167</v>
      </c>
      <c r="E30" s="8" t="s">
        <v>168</v>
      </c>
      <c r="F30" s="8" t="s">
        <v>169</v>
      </c>
    </row>
    <row r="31" spans="1:12" ht="14.45">
      <c r="A31" s="3">
        <v>537383.79</v>
      </c>
      <c r="B31" s="3">
        <v>0.216</v>
      </c>
      <c r="D31">
        <v>1</v>
      </c>
      <c r="E31">
        <v>692008.9504884528</v>
      </c>
      <c r="F31">
        <v>-33176.330488452804</v>
      </c>
    </row>
    <row r="32" spans="1:12" ht="14.45">
      <c r="A32" s="3">
        <v>500173.02</v>
      </c>
      <c r="B32" s="3">
        <v>0.13600000000000001</v>
      </c>
      <c r="D32">
        <v>2</v>
      </c>
      <c r="E32">
        <v>674528.91319418873</v>
      </c>
      <c r="F32">
        <v>-40092.913194188732</v>
      </c>
    </row>
    <row r="33" spans="1:6" ht="14.45">
      <c r="A33" s="3">
        <v>427917.38</v>
      </c>
      <c r="B33" s="3">
        <v>0.16800000000000001</v>
      </c>
      <c r="D33">
        <v>3</v>
      </c>
      <c r="E33">
        <v>679384.47910926212</v>
      </c>
      <c r="F33">
        <v>-662.41910926206037</v>
      </c>
    </row>
    <row r="34" spans="1:6" ht="14.45">
      <c r="A34" s="3">
        <v>641865.03</v>
      </c>
      <c r="B34" s="3">
        <v>0.188</v>
      </c>
      <c r="D34">
        <v>4</v>
      </c>
      <c r="E34">
        <v>678135.90501681471</v>
      </c>
      <c r="F34">
        <v>-19215.605016814661</v>
      </c>
    </row>
    <row r="35" spans="1:6" ht="14.45">
      <c r="A35" s="3">
        <v>799477.76000000001</v>
      </c>
      <c r="B35" s="3">
        <v>7.0000000000000007E-2</v>
      </c>
      <c r="D35">
        <v>5</v>
      </c>
      <c r="E35">
        <v>665788.89454705676</v>
      </c>
      <c r="F35">
        <v>75552.545452943188</v>
      </c>
    </row>
    <row r="36" spans="1:6" ht="14.45">
      <c r="A36" s="3">
        <v>798952.17</v>
      </c>
      <c r="B36" s="3">
        <v>3.9E-2</v>
      </c>
      <c r="D36">
        <v>6</v>
      </c>
      <c r="E36">
        <v>682297.81865830615</v>
      </c>
      <c r="F36">
        <v>79537.52134169382</v>
      </c>
    </row>
    <row r="37" spans="1:6" ht="14.45">
      <c r="A37" s="3">
        <v>800979.78</v>
      </c>
      <c r="B37" s="3">
        <v>0.247</v>
      </c>
      <c r="D37">
        <v>7</v>
      </c>
      <c r="E37">
        <v>680910.51411114226</v>
      </c>
      <c r="F37">
        <v>125705.02588885778</v>
      </c>
    </row>
    <row r="38" spans="1:6" ht="14.45">
      <c r="A38" s="3">
        <v>820593.93</v>
      </c>
      <c r="B38" s="3">
        <v>9.1999999999999998E-2</v>
      </c>
      <c r="D38">
        <v>8</v>
      </c>
      <c r="E38">
        <v>680216.86183756043</v>
      </c>
      <c r="F38">
        <v>169947.39816243958</v>
      </c>
    </row>
    <row r="39" spans="1:6" ht="14.45">
      <c r="A39" s="3">
        <v>718330.53</v>
      </c>
      <c r="B39" s="3">
        <v>0.156</v>
      </c>
      <c r="D39">
        <v>9</v>
      </c>
      <c r="E39">
        <v>668008.58182251884</v>
      </c>
      <c r="F39">
        <v>262573.11817748111</v>
      </c>
    </row>
    <row r="40" spans="1:6" ht="14.45">
      <c r="A40" s="3">
        <v>736633.4</v>
      </c>
      <c r="B40" s="3">
        <v>0.19800000000000001</v>
      </c>
      <c r="D40">
        <v>10</v>
      </c>
      <c r="E40">
        <v>667314.92954893701</v>
      </c>
      <c r="F40">
        <v>111696.01045106293</v>
      </c>
    </row>
    <row r="41" spans="1:6" ht="14.45">
      <c r="A41" s="3">
        <v>828623.85</v>
      </c>
      <c r="B41" s="3">
        <v>8.5000000000000006E-2</v>
      </c>
      <c r="D41">
        <v>11</v>
      </c>
      <c r="E41">
        <v>668286.04273195169</v>
      </c>
      <c r="F41">
        <v>54774.71726804832</v>
      </c>
    </row>
    <row r="42" spans="1:6" ht="14.45">
      <c r="A42" s="3">
        <v>592195.85</v>
      </c>
      <c r="B42" s="3">
        <v>0.218</v>
      </c>
      <c r="D42">
        <v>12</v>
      </c>
      <c r="E42">
        <v>697558.16867710801</v>
      </c>
      <c r="F42">
        <v>213233.77132289193</v>
      </c>
    </row>
    <row r="43" spans="1:6" ht="14.45">
      <c r="A43" s="3">
        <v>532644.46</v>
      </c>
      <c r="B43" s="3">
        <v>0.14299999999999999</v>
      </c>
      <c r="D43">
        <v>13</v>
      </c>
      <c r="E43">
        <v>681742.89683944057</v>
      </c>
      <c r="F43">
        <v>240425.70316055941</v>
      </c>
    </row>
    <row r="44" spans="1:6" ht="14.45">
      <c r="A44" s="3">
        <v>657429.18000000005</v>
      </c>
      <c r="B44" s="3">
        <v>0.128</v>
      </c>
      <c r="D44">
        <v>14</v>
      </c>
      <c r="E44">
        <v>677580.98319794913</v>
      </c>
      <c r="F44">
        <v>49025.2968020509</v>
      </c>
    </row>
    <row r="45" spans="1:6" ht="14.45">
      <c r="A45" s="3">
        <v>605178</v>
      </c>
      <c r="B45" s="3">
        <v>1.9E-2</v>
      </c>
      <c r="D45">
        <v>15</v>
      </c>
      <c r="E45">
        <v>666205.08591120597</v>
      </c>
      <c r="F45">
        <v>80296.004088793998</v>
      </c>
    </row>
    <row r="46" spans="1:6" ht="14.45">
      <c r="A46" s="3">
        <v>595467.6</v>
      </c>
      <c r="B46" s="3">
        <v>0.06</v>
      </c>
      <c r="D46">
        <v>16</v>
      </c>
      <c r="E46">
        <v>697003.24685824243</v>
      </c>
      <c r="F46">
        <v>137013.77314175759</v>
      </c>
    </row>
    <row r="47" spans="1:6" ht="14.45">
      <c r="A47" s="3">
        <v>599603.4</v>
      </c>
      <c r="B47" s="3">
        <v>0.23499999999999999</v>
      </c>
      <c r="D47">
        <v>17</v>
      </c>
      <c r="E47">
        <v>697141.9773129588</v>
      </c>
      <c r="F47">
        <v>-30989.457312958781</v>
      </c>
    </row>
    <row r="48" spans="1:6" ht="14.45">
      <c r="A48" s="3">
        <v>614800.09</v>
      </c>
      <c r="B48" s="3">
        <v>0.113</v>
      </c>
      <c r="D48">
        <v>18</v>
      </c>
      <c r="E48">
        <v>681326.70547529147</v>
      </c>
      <c r="F48">
        <v>-108171.51547529153</v>
      </c>
    </row>
    <row r="49" spans="1:6" ht="14.45">
      <c r="A49" s="3">
        <v>585365.73</v>
      </c>
      <c r="B49" s="3">
        <v>0.155</v>
      </c>
      <c r="D49">
        <v>19</v>
      </c>
      <c r="E49">
        <v>697835.62958654074</v>
      </c>
      <c r="F49">
        <v>-31262.429586540791</v>
      </c>
    </row>
    <row r="50" spans="1:6" ht="14.45">
      <c r="A50" s="3">
        <v>622811.74</v>
      </c>
      <c r="B50" s="3">
        <v>0.109</v>
      </c>
      <c r="D50">
        <v>20</v>
      </c>
      <c r="E50">
        <v>675916.21774135262</v>
      </c>
      <c r="F50">
        <v>-84296.267741352669</v>
      </c>
    </row>
    <row r="51" spans="1:6" ht="14.45">
      <c r="A51" s="3">
        <v>603297.56999999995</v>
      </c>
      <c r="B51" s="3">
        <v>0.218</v>
      </c>
      <c r="D51">
        <v>21</v>
      </c>
      <c r="E51">
        <v>665788.89454705676</v>
      </c>
      <c r="F51">
        <v>-250067.07454705675</v>
      </c>
    </row>
    <row r="52" spans="1:6" ht="14.45">
      <c r="A52" s="3">
        <v>625672.86</v>
      </c>
      <c r="B52" s="3">
        <v>8.0000000000000002E-3</v>
      </c>
      <c r="D52">
        <v>22</v>
      </c>
      <c r="E52">
        <v>673419.06955645769</v>
      </c>
      <c r="F52">
        <v>-181513.93955645768</v>
      </c>
    </row>
    <row r="53" spans="1:6" ht="14.45">
      <c r="A53" s="3">
        <v>773815.14</v>
      </c>
      <c r="B53" s="3">
        <v>0.05</v>
      </c>
      <c r="D53">
        <v>23</v>
      </c>
      <c r="E53">
        <v>675638.75683191977</v>
      </c>
      <c r="F53">
        <v>-119709.35683191975</v>
      </c>
    </row>
    <row r="54" spans="1:6" ht="14.45">
      <c r="A54" s="3">
        <v>463534.25</v>
      </c>
      <c r="B54" s="3">
        <v>8.6999999999999994E-2</v>
      </c>
      <c r="D54">
        <v>24</v>
      </c>
      <c r="E54">
        <v>667869.85136780248</v>
      </c>
      <c r="F54">
        <v>-102058.86136780248</v>
      </c>
    </row>
    <row r="55" spans="1:6" ht="14.45">
      <c r="A55" s="3">
        <v>746677.75</v>
      </c>
      <c r="B55" s="3">
        <v>0.26200000000000001</v>
      </c>
      <c r="D55">
        <v>25</v>
      </c>
      <c r="E55">
        <v>681049.24456585874</v>
      </c>
      <c r="F55">
        <v>130721.89543414128</v>
      </c>
    </row>
    <row r="56" spans="1:6" ht="14.45">
      <c r="A56" s="3">
        <v>720852.5</v>
      </c>
      <c r="B56" s="3">
        <v>0.106</v>
      </c>
      <c r="D56">
        <v>26</v>
      </c>
      <c r="E56">
        <v>678413.36592624744</v>
      </c>
      <c r="F56">
        <v>122038.5740737525</v>
      </c>
    </row>
    <row r="57" spans="1:6" ht="14.45">
      <c r="A57" s="3">
        <v>487464.91</v>
      </c>
      <c r="B57" s="3">
        <v>0.08</v>
      </c>
      <c r="D57">
        <v>27</v>
      </c>
      <c r="E57">
        <v>674390.18273947237</v>
      </c>
      <c r="F57">
        <v>109282.63726052758</v>
      </c>
    </row>
    <row r="58" spans="1:6" ht="14.45">
      <c r="A58" s="3">
        <v>518049.26</v>
      </c>
      <c r="B58" s="3">
        <v>0</v>
      </c>
      <c r="D58">
        <v>28</v>
      </c>
      <c r="E58">
        <v>680910.51411114226</v>
      </c>
      <c r="F58">
        <v>20731.455888857716</v>
      </c>
    </row>
    <row r="59" spans="1:6" ht="14.45">
      <c r="A59" s="3">
        <v>500298.48</v>
      </c>
      <c r="B59" s="3">
        <v>3.9E-2</v>
      </c>
      <c r="D59">
        <v>29</v>
      </c>
      <c r="E59">
        <v>680633.05320170952</v>
      </c>
      <c r="F59">
        <v>-168788.64320170955</v>
      </c>
    </row>
    <row r="60" spans="1:6" ht="14.45">
      <c r="A60" s="3">
        <v>617291.15</v>
      </c>
      <c r="B60" s="3">
        <v>0.13700000000000001</v>
      </c>
      <c r="D60">
        <v>30</v>
      </c>
      <c r="E60">
        <v>667869.85136780248</v>
      </c>
      <c r="F60">
        <v>-130486.06136780244</v>
      </c>
    </row>
    <row r="61" spans="1:6" ht="14.45">
      <c r="A61" s="3">
        <v>553756.43000000005</v>
      </c>
      <c r="B61" s="3">
        <v>9.1999999999999998E-2</v>
      </c>
      <c r="D61">
        <v>31</v>
      </c>
      <c r="E61">
        <v>678968.28774511302</v>
      </c>
      <c r="F61">
        <v>-178795.267745113</v>
      </c>
    </row>
    <row r="62" spans="1:6" ht="14.45">
      <c r="A62" s="3">
        <v>749559.71</v>
      </c>
      <c r="B62" s="3">
        <v>6.2E-2</v>
      </c>
      <c r="D62">
        <v>32</v>
      </c>
      <c r="E62">
        <v>674528.91319418873</v>
      </c>
      <c r="F62">
        <v>-246611.53319418873</v>
      </c>
    </row>
    <row r="63" spans="1:6" ht="14.45">
      <c r="A63" s="3">
        <v>615966.48</v>
      </c>
      <c r="B63" s="3">
        <v>7.3999999999999996E-2</v>
      </c>
      <c r="D63">
        <v>33</v>
      </c>
      <c r="E63">
        <v>671754.30409986118</v>
      </c>
      <c r="F63">
        <v>-29889.274099861155</v>
      </c>
    </row>
    <row r="64" spans="1:6" ht="14.45">
      <c r="A64" s="3">
        <v>572011.19999999995</v>
      </c>
      <c r="B64" s="3">
        <v>0.113</v>
      </c>
      <c r="D64">
        <v>34</v>
      </c>
      <c r="E64">
        <v>688124.49775639409</v>
      </c>
      <c r="F64">
        <v>111353.26224360592</v>
      </c>
    </row>
    <row r="65" spans="1:6" ht="14.45">
      <c r="A65" s="3">
        <v>761860.19</v>
      </c>
      <c r="B65" s="3">
        <v>5.3999999999999999E-2</v>
      </c>
      <c r="D65">
        <v>35</v>
      </c>
      <c r="E65">
        <v>692425.1418526019</v>
      </c>
      <c r="F65">
        <v>106527.02814739814</v>
      </c>
    </row>
    <row r="66" spans="1:6" ht="14.45">
      <c r="A66" s="3">
        <v>784502.68</v>
      </c>
      <c r="B66" s="3">
        <v>0.107</v>
      </c>
      <c r="D66">
        <v>36</v>
      </c>
      <c r="E66">
        <v>663569.20727159467</v>
      </c>
      <c r="F66">
        <v>137410.57272840536</v>
      </c>
    </row>
    <row r="67" spans="1:6" ht="14.45">
      <c r="A67" s="3">
        <v>717141.55</v>
      </c>
      <c r="B67" s="3">
        <v>0.156</v>
      </c>
      <c r="D67">
        <v>37</v>
      </c>
      <c r="E67">
        <v>685072.4277526337</v>
      </c>
      <c r="F67">
        <v>135521.50224736636</v>
      </c>
    </row>
    <row r="68" spans="1:6" ht="14.45">
      <c r="A68" s="3">
        <v>685379.08</v>
      </c>
      <c r="B68" s="3">
        <v>0.10199999999999999</v>
      </c>
      <c r="D68">
        <v>38</v>
      </c>
      <c r="E68">
        <v>676193.67865078535</v>
      </c>
      <c r="F68">
        <v>42136.851349214674</v>
      </c>
    </row>
    <row r="69" spans="1:6" ht="14.45">
      <c r="A69" s="3">
        <v>740496.65</v>
      </c>
      <c r="B69" s="3">
        <v>0.115</v>
      </c>
      <c r="D69">
        <v>39</v>
      </c>
      <c r="E69">
        <v>670366.99955269741</v>
      </c>
      <c r="F69">
        <v>66266.400447302614</v>
      </c>
    </row>
    <row r="70" spans="1:6" ht="14.45">
      <c r="A70" s="3">
        <v>661927.14</v>
      </c>
      <c r="B70" s="3">
        <v>0.14099999999999999</v>
      </c>
      <c r="D70">
        <v>40</v>
      </c>
      <c r="E70">
        <v>686043.54093564837</v>
      </c>
      <c r="F70">
        <v>142580.3090643516</v>
      </c>
    </row>
    <row r="71" spans="1:6" ht="14.45">
      <c r="A71" s="3">
        <v>479050.5</v>
      </c>
      <c r="B71" s="3">
        <v>0.191</v>
      </c>
      <c r="D71">
        <v>41</v>
      </c>
      <c r="E71">
        <v>667592.39045836974</v>
      </c>
      <c r="F71">
        <v>-75396.540458369767</v>
      </c>
    </row>
    <row r="72" spans="1:6" ht="14.45">
      <c r="A72" s="3">
        <v>605023.87</v>
      </c>
      <c r="B72" s="3">
        <v>0.19700000000000001</v>
      </c>
      <c r="D72">
        <v>42</v>
      </c>
      <c r="E72">
        <v>677997.17456209834</v>
      </c>
      <c r="F72">
        <v>-145352.71456209838</v>
      </c>
    </row>
    <row r="73" spans="1:6" ht="14.45">
      <c r="A73" s="3">
        <v>674774.09</v>
      </c>
      <c r="B73" s="3">
        <v>3.5999999999999997E-2</v>
      </c>
      <c r="D73">
        <v>43</v>
      </c>
      <c r="E73">
        <v>680078.13138284406</v>
      </c>
      <c r="F73">
        <v>-22648.95138284401</v>
      </c>
    </row>
    <row r="74" spans="1:6" ht="14.45">
      <c r="A74" s="3">
        <v>616069.41</v>
      </c>
      <c r="B74" s="3">
        <v>0.27700000000000002</v>
      </c>
      <c r="D74">
        <v>44</v>
      </c>
      <c r="E74">
        <v>695199.75094692956</v>
      </c>
      <c r="F74">
        <v>-90021.750946929562</v>
      </c>
    </row>
    <row r="75" spans="1:6" ht="14.45">
      <c r="A75" s="3">
        <v>630829.93999999994</v>
      </c>
      <c r="B75" s="3">
        <v>6.6000000000000003E-2</v>
      </c>
      <c r="D75">
        <v>45</v>
      </c>
      <c r="E75">
        <v>689511.80230355787</v>
      </c>
      <c r="F75">
        <v>-94044.20230355789</v>
      </c>
    </row>
    <row r="76" spans="1:6" ht="14.45">
      <c r="A76" s="3">
        <v>788087.68</v>
      </c>
      <c r="B76" s="3">
        <v>0.17799999999999999</v>
      </c>
      <c r="D76">
        <v>46</v>
      </c>
      <c r="E76">
        <v>665233.97272819129</v>
      </c>
      <c r="F76">
        <v>-65630.57272819127</v>
      </c>
    </row>
    <row r="77" spans="1:6" ht="14.45">
      <c r="A77" s="3">
        <v>680840.36</v>
      </c>
      <c r="B77" s="3">
        <v>0.20300000000000001</v>
      </c>
      <c r="D77">
        <v>47</v>
      </c>
      <c r="E77">
        <v>682159.08820358966</v>
      </c>
      <c r="F77">
        <v>-67358.998203589697</v>
      </c>
    </row>
    <row r="78" spans="1:6" ht="14.45">
      <c r="A78" s="3">
        <v>643657.47</v>
      </c>
      <c r="B78" s="3">
        <v>0.1</v>
      </c>
      <c r="D78">
        <v>48</v>
      </c>
      <c r="E78">
        <v>676332.40910550172</v>
      </c>
      <c r="F78">
        <v>-90966.679105501738</v>
      </c>
    </row>
    <row r="79" spans="1:6" ht="14.45">
      <c r="A79" s="3">
        <v>691112.6</v>
      </c>
      <c r="B79" s="3">
        <v>6.4000000000000001E-2</v>
      </c>
      <c r="D79">
        <v>49</v>
      </c>
      <c r="E79">
        <v>682714.01002245524</v>
      </c>
      <c r="F79">
        <v>-59902.270022455254</v>
      </c>
    </row>
    <row r="80" spans="1:6" ht="14.45">
      <c r="A80" s="3">
        <v>776922.17</v>
      </c>
      <c r="B80" s="3">
        <v>0.17199999999999999</v>
      </c>
      <c r="D80">
        <v>50</v>
      </c>
      <c r="E80">
        <v>667592.39045836974</v>
      </c>
      <c r="F80">
        <v>-64294.820458369795</v>
      </c>
    </row>
    <row r="81" spans="1:6" ht="14.45">
      <c r="A81" s="3">
        <v>636561.34</v>
      </c>
      <c r="B81" s="3">
        <v>0.252</v>
      </c>
      <c r="D81">
        <v>51</v>
      </c>
      <c r="E81">
        <v>696725.7859488097</v>
      </c>
      <c r="F81">
        <v>-71052.925948809716</v>
      </c>
    </row>
    <row r="82" spans="1:6" ht="14.45">
      <c r="A82" s="3">
        <v>621369.57999999996</v>
      </c>
      <c r="B82" s="3">
        <v>0.17899999999999999</v>
      </c>
      <c r="D82">
        <v>52</v>
      </c>
      <c r="E82">
        <v>690899.10685072176</v>
      </c>
      <c r="F82">
        <v>82916.033149278257</v>
      </c>
    </row>
    <row r="83" spans="1:6" ht="14.45">
      <c r="A83" s="3">
        <v>682208.01</v>
      </c>
      <c r="B83" s="3">
        <v>9.5000000000000001E-2</v>
      </c>
      <c r="D83">
        <v>53</v>
      </c>
      <c r="E83">
        <v>685766.08002621564</v>
      </c>
      <c r="F83">
        <v>-222231.83002621564</v>
      </c>
    </row>
    <row r="84" spans="1:6" ht="14.45">
      <c r="A84" s="3">
        <v>727241.86</v>
      </c>
      <c r="B84" s="3">
        <v>8.4000000000000005E-2</v>
      </c>
      <c r="D84">
        <v>54</v>
      </c>
      <c r="E84">
        <v>661488.25045084895</v>
      </c>
      <c r="F84">
        <v>85189.499549151049</v>
      </c>
    </row>
    <row r="85" spans="1:6" ht="14.45">
      <c r="A85" s="3">
        <v>569100.78</v>
      </c>
      <c r="B85" s="3">
        <v>0.03</v>
      </c>
      <c r="D85">
        <v>55</v>
      </c>
      <c r="E85">
        <v>683130.20138660434</v>
      </c>
      <c r="F85">
        <v>37722.298613395658</v>
      </c>
    </row>
    <row r="86" spans="1:6" ht="14.45">
      <c r="A86" s="3">
        <v>574436.29</v>
      </c>
      <c r="B86" s="3">
        <v>0.108</v>
      </c>
      <c r="D86">
        <v>56</v>
      </c>
      <c r="E86">
        <v>686737.19320923032</v>
      </c>
      <c r="F86">
        <v>-199272.28320923034</v>
      </c>
    </row>
    <row r="87" spans="1:6" ht="14.45">
      <c r="A87" s="3">
        <v>611766.72</v>
      </c>
      <c r="B87" s="3">
        <v>0.20599999999999999</v>
      </c>
      <c r="D87">
        <v>57</v>
      </c>
      <c r="E87">
        <v>697835.62958654074</v>
      </c>
      <c r="F87">
        <v>-179786.36958654074</v>
      </c>
    </row>
    <row r="88" spans="1:6" ht="14.45">
      <c r="A88" s="3">
        <v>614596.31999999995</v>
      </c>
      <c r="B88" s="3">
        <v>5.8999999999999997E-2</v>
      </c>
      <c r="D88">
        <v>58</v>
      </c>
      <c r="E88">
        <v>692425.1418526019</v>
      </c>
      <c r="F88">
        <v>-192126.66185260192</v>
      </c>
    </row>
    <row r="89" spans="1:6" ht="14.45">
      <c r="A89" s="3">
        <v>450711.92</v>
      </c>
      <c r="B89" s="3">
        <v>0.14499999999999999</v>
      </c>
      <c r="D89">
        <v>59</v>
      </c>
      <c r="E89">
        <v>678829.55729039654</v>
      </c>
      <c r="F89">
        <v>-61538.407290396513</v>
      </c>
    </row>
    <row r="90" spans="1:6" ht="14.45">
      <c r="A90" s="3">
        <v>711213.46</v>
      </c>
      <c r="B90" s="3">
        <v>2.9000000000000001E-2</v>
      </c>
      <c r="D90">
        <v>60</v>
      </c>
      <c r="E90">
        <v>685072.4277526337</v>
      </c>
      <c r="F90">
        <v>-131315.99775263364</v>
      </c>
    </row>
    <row r="91" spans="1:6" ht="14.45">
      <c r="A91" s="3">
        <v>627171.9</v>
      </c>
      <c r="B91" s="3">
        <v>1.2999999999999999E-2</v>
      </c>
      <c r="D91">
        <v>61</v>
      </c>
      <c r="E91">
        <v>689234.34139412513</v>
      </c>
      <c r="F91">
        <v>60325.368605874828</v>
      </c>
    </row>
    <row r="92" spans="1:6" ht="14.45">
      <c r="A92" s="3">
        <v>739852.58</v>
      </c>
      <c r="B92" s="3">
        <v>0.04</v>
      </c>
      <c r="D92">
        <v>62</v>
      </c>
      <c r="E92">
        <v>687569.57593752863</v>
      </c>
      <c r="F92">
        <v>-71603.095937528647</v>
      </c>
    </row>
    <row r="93" spans="1:6" ht="14.45">
      <c r="A93" s="3">
        <v>586307.22</v>
      </c>
      <c r="B93" s="3">
        <v>4.2999999999999997E-2</v>
      </c>
      <c r="D93">
        <v>63</v>
      </c>
      <c r="E93">
        <v>682159.08820358966</v>
      </c>
      <c r="F93">
        <v>-110147.88820358971</v>
      </c>
    </row>
    <row r="94" spans="1:6" ht="14.45">
      <c r="A94" s="3">
        <v>585937.48</v>
      </c>
      <c r="B94" s="3">
        <v>0.19400000000000001</v>
      </c>
      <c r="D94">
        <v>64</v>
      </c>
      <c r="E94">
        <v>690344.18503185618</v>
      </c>
      <c r="F94">
        <v>71516.004968143767</v>
      </c>
    </row>
    <row r="95" spans="1:6" ht="14.45">
      <c r="A95" s="3">
        <v>753473.55</v>
      </c>
      <c r="B95" s="3">
        <v>0</v>
      </c>
      <c r="D95">
        <v>65</v>
      </c>
      <c r="E95">
        <v>682991.47093188798</v>
      </c>
      <c r="F95">
        <v>101511.20906811208</v>
      </c>
    </row>
    <row r="96" spans="1:6" ht="14.45">
      <c r="A96" s="3">
        <v>838250.32</v>
      </c>
      <c r="B96" s="3">
        <v>7.2999999999999995E-2</v>
      </c>
      <c r="D96">
        <v>66</v>
      </c>
      <c r="E96">
        <v>676193.67865078535</v>
      </c>
      <c r="F96">
        <v>40947.871349214693</v>
      </c>
    </row>
    <row r="97" spans="1:6" ht="14.45">
      <c r="A97" s="3">
        <v>607898.12</v>
      </c>
      <c r="B97" s="3">
        <v>7.3999999999999996E-2</v>
      </c>
      <c r="D97">
        <v>67</v>
      </c>
      <c r="E97">
        <v>683685.12320546992</v>
      </c>
      <c r="F97">
        <v>1693.9567945300369</v>
      </c>
    </row>
    <row r="98" spans="1:6" ht="14.45">
      <c r="A98" s="3">
        <v>691113.62</v>
      </c>
      <c r="B98" s="3">
        <v>0.16300000000000001</v>
      </c>
      <c r="D98">
        <v>68</v>
      </c>
      <c r="E98">
        <v>681881.62729415693</v>
      </c>
      <c r="F98">
        <v>58615.02270584309</v>
      </c>
    </row>
    <row r="99" spans="1:6" ht="14.45">
      <c r="A99" s="3">
        <v>735509.4</v>
      </c>
      <c r="B99" s="3">
        <v>0.17100000000000001</v>
      </c>
      <c r="D99">
        <v>69</v>
      </c>
      <c r="E99">
        <v>678274.63547153107</v>
      </c>
      <c r="F99">
        <v>-16347.49547153106</v>
      </c>
    </row>
    <row r="100" spans="1:6" ht="14.45">
      <c r="A100" s="3">
        <v>605775.32999999996</v>
      </c>
      <c r="B100" s="3">
        <v>7.4999999999999997E-2</v>
      </c>
      <c r="D100">
        <v>70</v>
      </c>
      <c r="E100">
        <v>671338.11273571197</v>
      </c>
      <c r="F100">
        <v>-192287.61273571197</v>
      </c>
    </row>
    <row r="101" spans="1:6" ht="14.45">
      <c r="A101" s="3">
        <v>675177.68</v>
      </c>
      <c r="B101" s="3">
        <v>0.189</v>
      </c>
      <c r="D101">
        <v>71</v>
      </c>
      <c r="E101">
        <v>670505.73000741377</v>
      </c>
      <c r="F101">
        <v>-65481.860007413779</v>
      </c>
    </row>
    <row r="102" spans="1:6" ht="14.45">
      <c r="A102" s="3">
        <v>635181.35</v>
      </c>
      <c r="B102" s="3">
        <v>0.15</v>
      </c>
      <c r="D102">
        <v>72</v>
      </c>
      <c r="E102">
        <v>692841.33321675099</v>
      </c>
      <c r="F102">
        <v>-18067.243216751027</v>
      </c>
    </row>
    <row r="103" spans="1:6" ht="14.45">
      <c r="A103" s="3">
        <v>586626.93999999994</v>
      </c>
      <c r="B103" s="3">
        <v>0.17299999999999999</v>
      </c>
      <c r="D103">
        <v>73</v>
      </c>
      <c r="E103">
        <v>659407.29363010323</v>
      </c>
      <c r="F103">
        <v>-43337.883630103199</v>
      </c>
    </row>
    <row r="104" spans="1:6" ht="14.45">
      <c r="A104" s="3">
        <v>740102.64</v>
      </c>
      <c r="B104" s="3">
        <v>0.185</v>
      </c>
      <c r="D104">
        <v>74</v>
      </c>
      <c r="E104">
        <v>688679.41957525967</v>
      </c>
      <c r="F104">
        <v>-57849.479575259727</v>
      </c>
    </row>
    <row r="105" spans="1:6" ht="14.45">
      <c r="A105" s="3">
        <v>625514.04</v>
      </c>
      <c r="B105" s="3">
        <v>0.08</v>
      </c>
      <c r="D105">
        <v>75</v>
      </c>
      <c r="E105">
        <v>673141.60864702496</v>
      </c>
      <c r="F105">
        <v>114946.07135297509</v>
      </c>
    </row>
    <row r="106" spans="1:6" ht="14.45">
      <c r="A106" s="3">
        <v>727227.2</v>
      </c>
      <c r="B106" s="3">
        <v>0.10299999999999999</v>
      </c>
      <c r="D106">
        <v>76</v>
      </c>
      <c r="E106">
        <v>669673.34727911546</v>
      </c>
      <c r="F106">
        <v>11167.012720884522</v>
      </c>
    </row>
    <row r="107" spans="1:6" ht="14.45">
      <c r="A107" s="3">
        <v>783797.89</v>
      </c>
      <c r="B107" s="3">
        <v>5.6000000000000001E-2</v>
      </c>
      <c r="D107">
        <v>77</v>
      </c>
      <c r="E107">
        <v>683962.58411490265</v>
      </c>
      <c r="F107">
        <v>-40305.114114902681</v>
      </c>
    </row>
    <row r="108" spans="1:6" ht="14.45">
      <c r="A108" s="3">
        <v>795153.84</v>
      </c>
      <c r="B108" s="3">
        <v>0.13300000000000001</v>
      </c>
      <c r="D108">
        <v>78</v>
      </c>
      <c r="E108">
        <v>688956.8804846924</v>
      </c>
      <c r="F108">
        <v>2155.7195153075736</v>
      </c>
    </row>
    <row r="109" spans="1:6" ht="14.45">
      <c r="A109" s="3">
        <v>665594.93999999994</v>
      </c>
      <c r="B109" s="3">
        <v>5.0999999999999997E-2</v>
      </c>
      <c r="D109">
        <v>79</v>
      </c>
      <c r="E109">
        <v>673973.99137532327</v>
      </c>
      <c r="F109">
        <v>102948.17862467677</v>
      </c>
    </row>
    <row r="110" spans="1:6" ht="14.45">
      <c r="A110" s="3">
        <v>709478.39</v>
      </c>
      <c r="B110" s="3">
        <v>0.157</v>
      </c>
      <c r="D110">
        <v>80</v>
      </c>
      <c r="E110">
        <v>662875.55499801284</v>
      </c>
      <c r="F110">
        <v>-26314.214998012874</v>
      </c>
    </row>
    <row r="111" spans="1:6" ht="14.45">
      <c r="A111" s="3">
        <v>664162.49</v>
      </c>
      <c r="B111" s="3">
        <v>0.29199999999999998</v>
      </c>
      <c r="D111">
        <v>81</v>
      </c>
      <c r="E111">
        <v>673002.87819230859</v>
      </c>
      <c r="F111">
        <v>-51633.298192308634</v>
      </c>
    </row>
    <row r="112" spans="1:6" ht="14.45">
      <c r="A112" s="3">
        <v>633494.21</v>
      </c>
      <c r="B112" s="3">
        <v>8.8999999999999996E-2</v>
      </c>
      <c r="D112">
        <v>82</v>
      </c>
      <c r="E112">
        <v>684656.2363884846</v>
      </c>
      <c r="F112">
        <v>-2448.2263884845888</v>
      </c>
    </row>
    <row r="113" spans="1:6" ht="14.45">
      <c r="A113" s="3">
        <v>713611.16</v>
      </c>
      <c r="B113" s="3">
        <v>5.7000000000000002E-2</v>
      </c>
      <c r="D113">
        <v>83</v>
      </c>
      <c r="E113">
        <v>686182.27139036474</v>
      </c>
      <c r="F113">
        <v>41059.588609635248</v>
      </c>
    </row>
    <row r="114" spans="1:6" ht="14.45">
      <c r="A114" s="3">
        <v>778397.97</v>
      </c>
      <c r="B114" s="3">
        <v>0.17299999999999999</v>
      </c>
      <c r="D114">
        <v>84</v>
      </c>
      <c r="E114">
        <v>693673.71594504931</v>
      </c>
      <c r="F114">
        <v>-124572.93594504928</v>
      </c>
    </row>
    <row r="115" spans="1:6" ht="14.45">
      <c r="A115" s="3">
        <v>873380.02</v>
      </c>
      <c r="B115" s="3">
        <v>0.14199999999999999</v>
      </c>
      <c r="D115">
        <v>85</v>
      </c>
      <c r="E115">
        <v>682852.74047717161</v>
      </c>
      <c r="F115">
        <v>-108416.45047717157</v>
      </c>
    </row>
    <row r="116" spans="1:6" ht="14.45">
      <c r="A116" s="3">
        <v>697287.9</v>
      </c>
      <c r="B116" s="3">
        <v>0.159</v>
      </c>
      <c r="D116">
        <v>86</v>
      </c>
      <c r="E116">
        <v>669257.15591496637</v>
      </c>
      <c r="F116">
        <v>-57490.435914966394</v>
      </c>
    </row>
    <row r="117" spans="1:6" ht="14.45">
      <c r="A117" s="3">
        <v>718074.79</v>
      </c>
      <c r="B117" s="3">
        <v>0.13900000000000001</v>
      </c>
      <c r="D117">
        <v>87</v>
      </c>
      <c r="E117">
        <v>689650.53275827423</v>
      </c>
      <c r="F117">
        <v>-75054.212758274283</v>
      </c>
    </row>
    <row r="118" spans="1:6" ht="14.45">
      <c r="A118" s="3">
        <v>714942.43</v>
      </c>
      <c r="B118" s="3">
        <v>0.19</v>
      </c>
      <c r="D118">
        <v>88</v>
      </c>
      <c r="E118">
        <v>677719.71365266549</v>
      </c>
      <c r="F118">
        <v>-227007.79365266551</v>
      </c>
    </row>
    <row r="119" spans="1:6" ht="14.45">
      <c r="A119" s="3">
        <v>820519.04</v>
      </c>
      <c r="B119" s="3">
        <v>0.151</v>
      </c>
      <c r="D119">
        <v>89</v>
      </c>
      <c r="E119">
        <v>693812.44639976567</v>
      </c>
      <c r="F119">
        <v>17401.013600234292</v>
      </c>
    </row>
    <row r="120" spans="1:6" ht="14.45">
      <c r="A120" s="3">
        <v>684217.32</v>
      </c>
      <c r="B120" s="3">
        <v>0.13300000000000001</v>
      </c>
      <c r="D120">
        <v>90</v>
      </c>
      <c r="E120">
        <v>696032.13367522776</v>
      </c>
      <c r="F120">
        <v>-68860.233675227733</v>
      </c>
    </row>
    <row r="121" spans="1:6" ht="14.45">
      <c r="A121" s="3">
        <v>735480.19</v>
      </c>
      <c r="B121" s="3">
        <v>0.23200000000000001</v>
      </c>
      <c r="D121">
        <v>91</v>
      </c>
      <c r="E121">
        <v>692286.41139788553</v>
      </c>
      <c r="F121">
        <v>47566.168602114427</v>
      </c>
    </row>
    <row r="122" spans="1:6" ht="14.45">
      <c r="A122" s="3">
        <v>509484.81</v>
      </c>
      <c r="B122" s="3">
        <v>8.7999999999999995E-2</v>
      </c>
      <c r="D122">
        <v>92</v>
      </c>
      <c r="E122">
        <v>691870.22003373632</v>
      </c>
      <c r="F122">
        <v>-105563.00003373635</v>
      </c>
    </row>
    <row r="123" spans="1:6" ht="14.45">
      <c r="A123" s="3">
        <v>654317.09</v>
      </c>
      <c r="B123" s="3">
        <v>0</v>
      </c>
      <c r="D123">
        <v>93</v>
      </c>
      <c r="E123">
        <v>670921.92137156287</v>
      </c>
      <c r="F123">
        <v>-84984.441371562891</v>
      </c>
    </row>
    <row r="124" spans="1:6" ht="14.45">
      <c r="A124" s="3">
        <v>557487.26</v>
      </c>
      <c r="B124" s="3">
        <v>6.9000000000000006E-2</v>
      </c>
      <c r="D124">
        <v>94</v>
      </c>
      <c r="E124">
        <v>697835.62958654074</v>
      </c>
      <c r="F124">
        <v>55637.920413459302</v>
      </c>
    </row>
    <row r="125" spans="1:6" ht="14.45">
      <c r="A125" s="3">
        <v>441275.42</v>
      </c>
      <c r="B125" s="3">
        <v>0.216</v>
      </c>
      <c r="D125">
        <v>95</v>
      </c>
      <c r="E125">
        <v>687708.30639224499</v>
      </c>
      <c r="F125">
        <v>150542.01360775495</v>
      </c>
    </row>
    <row r="126" spans="1:6" ht="14.45">
      <c r="A126" s="3">
        <v>914544.17</v>
      </c>
      <c r="B126" s="3">
        <v>0.123</v>
      </c>
      <c r="D126">
        <v>96</v>
      </c>
      <c r="E126">
        <v>687569.57593752863</v>
      </c>
      <c r="F126">
        <v>-79671.455937528634</v>
      </c>
    </row>
    <row r="127" spans="1:6" ht="14.45">
      <c r="A127" s="3">
        <v>842439.67</v>
      </c>
      <c r="B127" s="3">
        <v>0.17599999999999999</v>
      </c>
      <c r="D127">
        <v>97</v>
      </c>
      <c r="E127">
        <v>675222.56546777068</v>
      </c>
      <c r="F127">
        <v>15891.054532229318</v>
      </c>
    </row>
    <row r="128" spans="1:6" ht="14.45">
      <c r="A128" s="3">
        <v>842157.92</v>
      </c>
      <c r="B128" s="3">
        <v>0.20399999999999999</v>
      </c>
      <c r="D128">
        <v>98</v>
      </c>
      <c r="E128">
        <v>674112.72183003963</v>
      </c>
      <c r="F128">
        <v>61396.678169960389</v>
      </c>
    </row>
    <row r="129" spans="1:6" ht="14.45">
      <c r="A129" s="3">
        <v>697155.3</v>
      </c>
      <c r="B129" s="3">
        <v>9.6000000000000002E-2</v>
      </c>
      <c r="D129">
        <v>99</v>
      </c>
      <c r="E129">
        <v>687430.84548281215</v>
      </c>
      <c r="F129">
        <v>-81655.515482812189</v>
      </c>
    </row>
    <row r="130" spans="1:6" ht="14.45">
      <c r="A130" s="3">
        <v>849018.3</v>
      </c>
      <c r="B130" s="3">
        <v>0.14199999999999999</v>
      </c>
      <c r="D130">
        <v>100</v>
      </c>
      <c r="E130">
        <v>671615.57364514482</v>
      </c>
      <c r="F130">
        <v>3562.1063548552338</v>
      </c>
    </row>
    <row r="131" spans="1:6" ht="14.45">
      <c r="A131" s="3">
        <v>801830.35</v>
      </c>
      <c r="B131" s="3">
        <v>0.20699999999999999</v>
      </c>
      <c r="D131">
        <v>101</v>
      </c>
      <c r="E131">
        <v>677026.06137908367</v>
      </c>
      <c r="F131">
        <v>-41844.711379083688</v>
      </c>
    </row>
    <row r="132" spans="1:6" ht="14.45">
      <c r="A132" s="3">
        <v>725235.28</v>
      </c>
      <c r="B132" s="3">
        <v>0.14399999999999999</v>
      </c>
      <c r="D132">
        <v>102</v>
      </c>
      <c r="E132">
        <v>673835.2609206069</v>
      </c>
      <c r="F132">
        <v>-87208.320920606959</v>
      </c>
    </row>
    <row r="133" spans="1:6" ht="14.45">
      <c r="A133" s="3">
        <v>811452.72</v>
      </c>
      <c r="B133" s="3">
        <v>8.8999999999999996E-2</v>
      </c>
      <c r="D133">
        <v>103</v>
      </c>
      <c r="E133">
        <v>672170.49546401028</v>
      </c>
      <c r="F133">
        <v>67932.144535989733</v>
      </c>
    </row>
    <row r="134" spans="1:6" ht="14.45">
      <c r="A134" s="3">
        <v>527300.13</v>
      </c>
      <c r="B134" s="3">
        <v>7.9000000000000001E-2</v>
      </c>
      <c r="D134">
        <v>104</v>
      </c>
      <c r="E134">
        <v>686737.19320923032</v>
      </c>
      <c r="F134">
        <v>-61223.15320923028</v>
      </c>
    </row>
    <row r="135" spans="1:6" ht="14.45">
      <c r="A135" s="3">
        <v>400831.65</v>
      </c>
      <c r="B135" s="3">
        <v>0.19600000000000001</v>
      </c>
      <c r="D135">
        <v>105</v>
      </c>
      <c r="E135">
        <v>683546.39275075356</v>
      </c>
      <c r="F135">
        <v>43680.807249246398</v>
      </c>
    </row>
    <row r="136" spans="1:6" ht="14.45">
      <c r="A136" s="3">
        <v>593247.25</v>
      </c>
      <c r="B136" s="3">
        <v>8.5999999999999993E-2</v>
      </c>
      <c r="D136">
        <v>106</v>
      </c>
      <c r="E136">
        <v>690066.72412242345</v>
      </c>
      <c r="F136">
        <v>93731.165877576568</v>
      </c>
    </row>
    <row r="137" spans="1:6" ht="14.45">
      <c r="A137" s="3">
        <v>529075.94999999995</v>
      </c>
      <c r="B137" s="3">
        <v>0.182</v>
      </c>
      <c r="D137">
        <v>107</v>
      </c>
      <c r="E137">
        <v>679384.47910926212</v>
      </c>
      <c r="F137">
        <v>115769.36089073785</v>
      </c>
    </row>
    <row r="138" spans="1:6" ht="14.45">
      <c r="A138" s="3">
        <v>633638.03</v>
      </c>
      <c r="B138" s="3">
        <v>4.8000000000000001E-2</v>
      </c>
      <c r="D138">
        <v>108</v>
      </c>
      <c r="E138">
        <v>690760.37639600527</v>
      </c>
      <c r="F138">
        <v>-25165.436396005331</v>
      </c>
    </row>
    <row r="139" spans="1:6" ht="14.45">
      <c r="A139" s="3">
        <v>743348.84</v>
      </c>
      <c r="B139" s="3">
        <v>7.9000000000000001E-2</v>
      </c>
      <c r="D139">
        <v>109</v>
      </c>
      <c r="E139">
        <v>676054.94819606899</v>
      </c>
      <c r="F139">
        <v>33423.441803931026</v>
      </c>
    </row>
    <row r="140" spans="1:6" ht="14.45">
      <c r="A140" s="3">
        <v>758827.64</v>
      </c>
      <c r="B140" s="3">
        <v>0.152</v>
      </c>
      <c r="D140">
        <v>110</v>
      </c>
      <c r="E140">
        <v>657326.33680935763</v>
      </c>
      <c r="F140">
        <v>6836.1531906423625</v>
      </c>
    </row>
    <row r="141" spans="1:6" ht="14.45">
      <c r="A141" s="3">
        <v>646559.71</v>
      </c>
      <c r="B141" s="3">
        <v>0.187</v>
      </c>
      <c r="D141">
        <v>111</v>
      </c>
      <c r="E141">
        <v>685488.61911678291</v>
      </c>
      <c r="F141">
        <v>-51994.409116782947</v>
      </c>
    </row>
    <row r="142" spans="1:6" ht="14.45">
      <c r="A142" s="3">
        <v>715890.53</v>
      </c>
      <c r="B142" s="3">
        <v>0.23400000000000001</v>
      </c>
      <c r="D142">
        <v>112</v>
      </c>
      <c r="E142">
        <v>689927.99366770708</v>
      </c>
      <c r="F142">
        <v>23683.166332292953</v>
      </c>
    </row>
    <row r="143" spans="1:6" ht="14.45">
      <c r="A143" s="3">
        <v>715097.57</v>
      </c>
      <c r="B143" s="3">
        <v>3.7999999999999999E-2</v>
      </c>
      <c r="D143">
        <v>113</v>
      </c>
      <c r="E143">
        <v>673835.2609206069</v>
      </c>
      <c r="F143">
        <v>104562.70907939307</v>
      </c>
    </row>
    <row r="144" spans="1:6" ht="14.45">
      <c r="A144" s="3">
        <v>682639.28</v>
      </c>
      <c r="B144" s="3">
        <v>6.9000000000000006E-2</v>
      </c>
      <c r="D144">
        <v>114</v>
      </c>
      <c r="E144">
        <v>678135.90501681471</v>
      </c>
      <c r="F144">
        <v>195244.11498318531</v>
      </c>
    </row>
    <row r="145" spans="1:6" ht="14.45">
      <c r="A145" s="3">
        <v>695098.51</v>
      </c>
      <c r="B145" s="3">
        <v>0.182</v>
      </c>
      <c r="D145">
        <v>115</v>
      </c>
      <c r="E145">
        <v>675777.48728663626</v>
      </c>
      <c r="F145">
        <v>21510.412713363767</v>
      </c>
    </row>
    <row r="146" spans="1:6" ht="14.45">
      <c r="A146" s="3">
        <v>577732.56999999995</v>
      </c>
      <c r="B146" s="3">
        <v>0.16900000000000001</v>
      </c>
      <c r="D146">
        <v>116</v>
      </c>
      <c r="E146">
        <v>678552.09638096381</v>
      </c>
      <c r="F146">
        <v>39522.693619036232</v>
      </c>
    </row>
    <row r="147" spans="1:6" ht="14.45">
      <c r="A147" s="3">
        <v>537058.32999999996</v>
      </c>
      <c r="B147" s="3">
        <v>0.06</v>
      </c>
      <c r="D147">
        <v>117</v>
      </c>
      <c r="E147">
        <v>671476.84319042845</v>
      </c>
      <c r="F147">
        <v>43465.5868095716</v>
      </c>
    </row>
    <row r="148" spans="1:6" ht="14.45">
      <c r="A148" s="3">
        <v>601568.87</v>
      </c>
      <c r="B148" s="3">
        <v>0.156</v>
      </c>
      <c r="D148">
        <v>118</v>
      </c>
      <c r="E148">
        <v>676887.3309243673</v>
      </c>
      <c r="F148">
        <v>143631.70907563274</v>
      </c>
    </row>
    <row r="149" spans="1:6" ht="14.45">
      <c r="A149" s="3">
        <v>570964.84</v>
      </c>
      <c r="B149" s="3">
        <v>0.108</v>
      </c>
      <c r="D149">
        <v>119</v>
      </c>
      <c r="E149">
        <v>679384.47910926212</v>
      </c>
      <c r="F149">
        <v>4832.8408907378325</v>
      </c>
    </row>
    <row r="150" spans="1:6" ht="14.45">
      <c r="A150" s="3">
        <v>614024.91</v>
      </c>
      <c r="B150" s="3">
        <v>4.7E-2</v>
      </c>
      <c r="D150">
        <v>120</v>
      </c>
      <c r="E150">
        <v>665650.16409234039</v>
      </c>
      <c r="F150">
        <v>69830.025907659554</v>
      </c>
    </row>
    <row r="151" spans="1:6" ht="14.45">
      <c r="A151" s="3">
        <v>712868.35</v>
      </c>
      <c r="B151" s="3">
        <v>4.3999999999999997E-2</v>
      </c>
      <c r="D151">
        <v>121</v>
      </c>
      <c r="E151">
        <v>685627.34957149928</v>
      </c>
      <c r="F151">
        <v>-176142.53957149928</v>
      </c>
    </row>
    <row r="152" spans="1:6" ht="14.45">
      <c r="A152" s="3">
        <v>696744.15</v>
      </c>
      <c r="B152" s="3">
        <v>0.1</v>
      </c>
      <c r="D152">
        <v>122</v>
      </c>
      <c r="E152">
        <v>697835.62958654074</v>
      </c>
      <c r="F152">
        <v>-43518.539586540777</v>
      </c>
    </row>
    <row r="153" spans="1:6" ht="14.45">
      <c r="A153" s="3">
        <v>725847.99</v>
      </c>
      <c r="B153" s="3">
        <v>0.19700000000000001</v>
      </c>
      <c r="D153">
        <v>123</v>
      </c>
      <c r="E153">
        <v>688263.22821111046</v>
      </c>
      <c r="F153">
        <v>-130775.96821111045</v>
      </c>
    </row>
    <row r="154" spans="1:6" ht="14.45">
      <c r="A154" s="3">
        <v>785028.25</v>
      </c>
      <c r="B154" s="3">
        <v>0.23400000000000001</v>
      </c>
      <c r="D154">
        <v>124</v>
      </c>
      <c r="E154">
        <v>667869.85136780248</v>
      </c>
      <c r="F154">
        <v>-226594.43136780249</v>
      </c>
    </row>
    <row r="155" spans="1:6" ht="14.45">
      <c r="A155" s="3">
        <v>698492.67</v>
      </c>
      <c r="B155" s="3">
        <v>0.16900000000000001</v>
      </c>
      <c r="D155">
        <v>125</v>
      </c>
      <c r="E155">
        <v>680771.78365642589</v>
      </c>
      <c r="F155">
        <v>233772.38634357415</v>
      </c>
    </row>
    <row r="156" spans="1:6" ht="14.45">
      <c r="A156" s="3">
        <v>685830.24</v>
      </c>
      <c r="B156" s="3">
        <v>0.18</v>
      </c>
      <c r="D156">
        <v>126</v>
      </c>
      <c r="E156">
        <v>673419.06955645769</v>
      </c>
      <c r="F156">
        <v>169020.60044354235</v>
      </c>
    </row>
    <row r="157" spans="1:6" ht="14.45">
      <c r="A157" s="3">
        <v>702318.94</v>
      </c>
      <c r="B157" s="3">
        <v>0.187</v>
      </c>
      <c r="D157">
        <v>127</v>
      </c>
      <c r="E157">
        <v>669534.6168243991</v>
      </c>
      <c r="F157">
        <v>172623.30317560094</v>
      </c>
    </row>
    <row r="158" spans="1:6" ht="14.45">
      <c r="A158" s="3">
        <v>700078.32</v>
      </c>
      <c r="B158" s="3">
        <v>5.7000000000000002E-2</v>
      </c>
      <c r="D158">
        <v>128</v>
      </c>
      <c r="E158">
        <v>684517.50593376823</v>
      </c>
      <c r="F158">
        <v>12637.794066231814</v>
      </c>
    </row>
    <row r="159" spans="1:6" ht="14.45">
      <c r="A159" s="3">
        <v>602002.31999999995</v>
      </c>
      <c r="B159" s="3">
        <v>0.114</v>
      </c>
      <c r="D159">
        <v>129</v>
      </c>
      <c r="E159">
        <v>678135.90501681471</v>
      </c>
      <c r="F159">
        <v>170882.39498318534</v>
      </c>
    </row>
    <row r="160" spans="1:6" ht="14.45">
      <c r="A160" s="3">
        <v>724216.07</v>
      </c>
      <c r="B160" s="3">
        <v>0.158</v>
      </c>
      <c r="D160">
        <v>130</v>
      </c>
      <c r="E160">
        <v>669118.42546024988</v>
      </c>
      <c r="F160">
        <v>132711.92453975009</v>
      </c>
    </row>
    <row r="161" spans="1:6" ht="14.45">
      <c r="A161" s="3">
        <v>620973.03</v>
      </c>
      <c r="B161" s="3">
        <v>0.159</v>
      </c>
      <c r="D161">
        <v>131</v>
      </c>
      <c r="E161">
        <v>677858.44410738198</v>
      </c>
      <c r="F161">
        <v>47376.835892618052</v>
      </c>
    </row>
    <row r="162" spans="1:6" ht="14.45">
      <c r="A162" s="3">
        <v>650480.06000000006</v>
      </c>
      <c r="B162" s="3">
        <v>0.17499999999999999</v>
      </c>
      <c r="D162">
        <v>132</v>
      </c>
      <c r="E162">
        <v>685488.61911678291</v>
      </c>
      <c r="F162">
        <v>125964.10088321706</v>
      </c>
    </row>
    <row r="163" spans="1:6" ht="14.45">
      <c r="A163" s="3">
        <v>778298.88</v>
      </c>
      <c r="B163" s="3">
        <v>3.4000000000000002E-2</v>
      </c>
      <c r="D163">
        <v>133</v>
      </c>
      <c r="E163">
        <v>686875.92366394668</v>
      </c>
      <c r="F163">
        <v>-159575.79366394668</v>
      </c>
    </row>
    <row r="164" spans="1:6" ht="14.45">
      <c r="A164" s="3">
        <v>677096.71</v>
      </c>
      <c r="B164" s="3">
        <v>0.193</v>
      </c>
      <c r="D164">
        <v>134</v>
      </c>
      <c r="E164">
        <v>670644.46046213014</v>
      </c>
      <c r="F164">
        <v>-269812.81046213012</v>
      </c>
    </row>
    <row r="165" spans="1:6" ht="14.45">
      <c r="A165" s="3">
        <v>692008.64</v>
      </c>
      <c r="B165" s="3">
        <v>7.4999999999999997E-2</v>
      </c>
      <c r="D165">
        <v>135</v>
      </c>
      <c r="E165">
        <v>685904.81048093201</v>
      </c>
      <c r="F165">
        <v>-92657.560480932007</v>
      </c>
    </row>
    <row r="166" spans="1:6" ht="14.45">
      <c r="A166" s="3">
        <v>825797.91</v>
      </c>
      <c r="B166" s="3">
        <v>0.157</v>
      </c>
      <c r="D166">
        <v>136</v>
      </c>
      <c r="E166">
        <v>672586.68682815949</v>
      </c>
      <c r="F166">
        <v>-143510.73682815954</v>
      </c>
    </row>
    <row r="167" spans="1:6" ht="14.45">
      <c r="A167" s="3">
        <v>706285.52</v>
      </c>
      <c r="B167" s="3">
        <v>0.123</v>
      </c>
      <c r="D167">
        <v>137</v>
      </c>
      <c r="E167">
        <v>691176.56776015449</v>
      </c>
      <c r="F167">
        <v>-57538.537760154461</v>
      </c>
    </row>
    <row r="168" spans="1:6" ht="14.45">
      <c r="A168" s="3">
        <v>665534.69999999995</v>
      </c>
      <c r="B168" s="3">
        <v>0.09</v>
      </c>
      <c r="D168">
        <v>138</v>
      </c>
      <c r="E168">
        <v>686875.92366394668</v>
      </c>
      <c r="F168">
        <v>56472.916336053284</v>
      </c>
    </row>
    <row r="169" spans="1:6" ht="14.45">
      <c r="A169" s="3">
        <v>820729.29</v>
      </c>
      <c r="B169" s="3">
        <v>0.126</v>
      </c>
      <c r="D169">
        <v>139</v>
      </c>
      <c r="E169">
        <v>676748.60046965093</v>
      </c>
      <c r="F169">
        <v>82079.03953034908</v>
      </c>
    </row>
    <row r="170" spans="1:6" ht="14.45">
      <c r="A170" s="3">
        <v>739831.73</v>
      </c>
      <c r="B170" s="3">
        <v>0.13600000000000001</v>
      </c>
      <c r="D170">
        <v>140</v>
      </c>
      <c r="E170">
        <v>671893.03455457755</v>
      </c>
      <c r="F170">
        <v>-25333.324554577586</v>
      </c>
    </row>
    <row r="171" spans="1:6" ht="14.45">
      <c r="A171" s="3">
        <v>593637.14</v>
      </c>
      <c r="B171" s="3">
        <v>9.9000000000000005E-2</v>
      </c>
      <c r="D171">
        <v>141</v>
      </c>
      <c r="E171">
        <v>665372.70318290766</v>
      </c>
      <c r="F171">
        <v>50517.826817092369</v>
      </c>
    </row>
    <row r="172" spans="1:6" ht="14.45">
      <c r="A172" s="3">
        <v>769702.76</v>
      </c>
      <c r="B172" s="3">
        <v>0.157</v>
      </c>
      <c r="D172">
        <v>142</v>
      </c>
      <c r="E172">
        <v>692563.87230731826</v>
      </c>
      <c r="F172">
        <v>22533.697692681686</v>
      </c>
    </row>
    <row r="173" spans="1:6" ht="14.45">
      <c r="A173" s="3">
        <v>679731.57</v>
      </c>
      <c r="B173" s="3">
        <v>0.11799999999999999</v>
      </c>
      <c r="D173">
        <v>143</v>
      </c>
      <c r="E173">
        <v>688263.22821111046</v>
      </c>
      <c r="F173">
        <v>-5623.9482111104298</v>
      </c>
    </row>
    <row r="174" spans="1:6" ht="14.45">
      <c r="A174" s="3">
        <v>780344.18</v>
      </c>
      <c r="B174" s="3">
        <v>0.157</v>
      </c>
      <c r="D174">
        <v>144</v>
      </c>
      <c r="E174">
        <v>672586.68682815949</v>
      </c>
      <c r="F174">
        <v>22511.823171840515</v>
      </c>
    </row>
    <row r="175" spans="1:6" ht="14.45">
      <c r="A175" s="3">
        <v>721364.11</v>
      </c>
      <c r="B175" s="3">
        <v>0.109</v>
      </c>
      <c r="D175">
        <v>145</v>
      </c>
      <c r="E175">
        <v>674390.18273947237</v>
      </c>
      <c r="F175">
        <v>-96657.612739472417</v>
      </c>
    </row>
    <row r="176" spans="1:6" ht="14.45">
      <c r="A176" s="3">
        <v>758138.29</v>
      </c>
      <c r="B176" s="3">
        <v>0.125</v>
      </c>
      <c r="D176">
        <v>146</v>
      </c>
      <c r="E176">
        <v>689511.80230355787</v>
      </c>
      <c r="F176">
        <v>-152453.47230355791</v>
      </c>
    </row>
    <row r="177" spans="1:6" ht="14.45">
      <c r="A177" s="3">
        <v>804264</v>
      </c>
      <c r="B177" s="3">
        <v>0.159</v>
      </c>
      <c r="D177">
        <v>147</v>
      </c>
      <c r="E177">
        <v>676193.67865078535</v>
      </c>
      <c r="F177">
        <v>-74624.808650785359</v>
      </c>
    </row>
    <row r="178" spans="1:6" ht="14.45">
      <c r="A178" s="3">
        <v>887537.75</v>
      </c>
      <c r="B178" s="3">
        <v>4.5999999999999999E-2</v>
      </c>
      <c r="D178">
        <v>148</v>
      </c>
      <c r="E178">
        <v>682852.74047717161</v>
      </c>
      <c r="F178">
        <v>-111887.90047717164</v>
      </c>
    </row>
    <row r="179" spans="1:6" ht="14.45">
      <c r="A179" s="3">
        <v>783582</v>
      </c>
      <c r="B179" s="3">
        <v>0.17699999999999999</v>
      </c>
      <c r="D179">
        <v>149</v>
      </c>
      <c r="E179">
        <v>691315.29821487085</v>
      </c>
      <c r="F179">
        <v>-77290.388214870822</v>
      </c>
    </row>
    <row r="180" spans="1:6" ht="14.45">
      <c r="A180" s="3">
        <v>781955.52</v>
      </c>
      <c r="B180" s="3">
        <v>4.1000000000000002E-2</v>
      </c>
      <c r="D180">
        <v>150</v>
      </c>
      <c r="E180">
        <v>691731.48957901995</v>
      </c>
      <c r="F180">
        <v>21136.860420980025</v>
      </c>
    </row>
    <row r="181" spans="1:6" ht="14.45">
      <c r="A181" s="3">
        <v>898031.04</v>
      </c>
      <c r="B181" s="3">
        <v>1.2999999999999999E-2</v>
      </c>
      <c r="D181">
        <v>151</v>
      </c>
      <c r="E181">
        <v>683962.58411490265</v>
      </c>
      <c r="F181">
        <v>12781.56588509737</v>
      </c>
    </row>
    <row r="182" spans="1:6" ht="14.45">
      <c r="A182" s="3">
        <v>855341.28</v>
      </c>
      <c r="B182" s="3">
        <v>1E-3</v>
      </c>
      <c r="D182">
        <v>152</v>
      </c>
      <c r="E182">
        <v>670505.73000741377</v>
      </c>
      <c r="F182">
        <v>55342.259992586216</v>
      </c>
    </row>
    <row r="183" spans="1:6" ht="14.45">
      <c r="A183" s="3">
        <v>751393.88</v>
      </c>
      <c r="B183" s="3">
        <v>0.14099999999999999</v>
      </c>
      <c r="D183">
        <v>153</v>
      </c>
      <c r="E183">
        <v>665372.70318290766</v>
      </c>
      <c r="F183">
        <v>119655.54681709234</v>
      </c>
    </row>
    <row r="184" spans="1:6" ht="14.45">
      <c r="A184" s="3">
        <v>761077.08</v>
      </c>
      <c r="B184" s="3">
        <v>0.113</v>
      </c>
      <c r="D184">
        <v>154</v>
      </c>
      <c r="E184">
        <v>674390.18273947237</v>
      </c>
      <c r="F184">
        <v>24102.487260527676</v>
      </c>
    </row>
    <row r="185" spans="1:6" ht="14.45">
      <c r="A185" s="3">
        <v>819660.59</v>
      </c>
      <c r="B185" s="3">
        <v>7.0000000000000007E-2</v>
      </c>
      <c r="D185">
        <v>155</v>
      </c>
      <c r="E185">
        <v>672864.14773759223</v>
      </c>
      <c r="F185">
        <v>12966.092262407765</v>
      </c>
    </row>
    <row r="186" spans="1:6" ht="14.45">
      <c r="A186" s="3">
        <v>681855.56</v>
      </c>
      <c r="B186" s="3">
        <v>7.1999999999999995E-2</v>
      </c>
      <c r="D186">
        <v>156</v>
      </c>
      <c r="E186">
        <v>671893.03455457755</v>
      </c>
      <c r="F186">
        <v>30425.905445422395</v>
      </c>
    </row>
    <row r="187" spans="1:6" ht="14.45">
      <c r="A187" s="3">
        <v>678311.17</v>
      </c>
      <c r="B187" s="3">
        <v>0.161</v>
      </c>
      <c r="D187">
        <v>157</v>
      </c>
      <c r="E187">
        <v>689927.99366770708</v>
      </c>
      <c r="F187">
        <v>10150.326332292869</v>
      </c>
    </row>
    <row r="188" spans="1:6" ht="14.45">
      <c r="A188" s="3">
        <v>765906.95</v>
      </c>
      <c r="B188" s="3">
        <v>6.7000000000000004E-2</v>
      </c>
      <c r="D188">
        <v>158</v>
      </c>
      <c r="E188">
        <v>682020.3577488733</v>
      </c>
      <c r="F188">
        <v>-80018.03774887335</v>
      </c>
    </row>
    <row r="189" spans="1:6" ht="14.45">
      <c r="A189" s="3">
        <v>712546.38</v>
      </c>
      <c r="B189" s="3">
        <v>9.4E-2</v>
      </c>
      <c r="D189">
        <v>159</v>
      </c>
      <c r="E189">
        <v>675916.21774135262</v>
      </c>
      <c r="F189">
        <v>48299.852258647326</v>
      </c>
    </row>
    <row r="190" spans="1:6" ht="14.45">
      <c r="A190" s="3">
        <v>625993.82999999996</v>
      </c>
      <c r="B190" s="3">
        <v>0</v>
      </c>
      <c r="D190">
        <v>160</v>
      </c>
      <c r="E190">
        <v>675777.48728663626</v>
      </c>
      <c r="F190">
        <v>-54804.457286636229</v>
      </c>
    </row>
    <row r="191" spans="1:6" ht="14.45">
      <c r="A191" s="3">
        <v>550962.93000000005</v>
      </c>
      <c r="B191" s="3">
        <v>5.8000000000000003E-2</v>
      </c>
      <c r="D191">
        <v>161</v>
      </c>
      <c r="E191">
        <v>673557.80001117417</v>
      </c>
      <c r="F191">
        <v>-23077.740011174115</v>
      </c>
    </row>
    <row r="192" spans="1:6" ht="14.45">
      <c r="A192" s="3">
        <v>443275.59</v>
      </c>
      <c r="B192" s="3">
        <v>0.25900000000000001</v>
      </c>
      <c r="D192">
        <v>162</v>
      </c>
      <c r="E192">
        <v>693118.79412618384</v>
      </c>
      <c r="F192">
        <v>85180.085873816162</v>
      </c>
    </row>
    <row r="193" spans="1:6" ht="14.45">
      <c r="A193" s="3">
        <v>554012.06999999995</v>
      </c>
      <c r="B193" s="3">
        <v>0.186</v>
      </c>
      <c r="D193">
        <v>163</v>
      </c>
      <c r="E193">
        <v>671060.65182627924</v>
      </c>
      <c r="F193">
        <v>6036.0581737207249</v>
      </c>
    </row>
    <row r="194" spans="1:6" ht="14.45">
      <c r="A194" s="3">
        <v>643428.85</v>
      </c>
      <c r="B194" s="3">
        <v>0.16400000000000001</v>
      </c>
      <c r="D194">
        <v>164</v>
      </c>
      <c r="E194">
        <v>687430.84548281215</v>
      </c>
      <c r="F194">
        <v>4577.7945171878673</v>
      </c>
    </row>
    <row r="195" spans="1:6" ht="14.45">
      <c r="A195" s="3">
        <v>611924.27</v>
      </c>
      <c r="B195" s="3">
        <v>0.15</v>
      </c>
      <c r="D195">
        <v>165</v>
      </c>
      <c r="E195">
        <v>676054.94819606899</v>
      </c>
      <c r="F195">
        <v>149742.96180393104</v>
      </c>
    </row>
    <row r="196" spans="1:6" ht="14.45">
      <c r="A196" s="3">
        <v>559422.02</v>
      </c>
      <c r="B196" s="3">
        <v>8.8999999999999996E-2</v>
      </c>
      <c r="D196">
        <v>166</v>
      </c>
      <c r="E196">
        <v>680771.78365642589</v>
      </c>
      <c r="F196">
        <v>25513.736343574128</v>
      </c>
    </row>
    <row r="197" spans="1:6" ht="14.45">
      <c r="A197" s="3">
        <v>449465.06</v>
      </c>
      <c r="B197" s="3">
        <v>0.22900000000000001</v>
      </c>
      <c r="D197">
        <v>167</v>
      </c>
      <c r="E197">
        <v>685349.88866206643</v>
      </c>
      <c r="F197">
        <v>-19815.188662066474</v>
      </c>
    </row>
    <row r="198" spans="1:6" ht="14.45">
      <c r="A198" s="3">
        <v>691447.43</v>
      </c>
      <c r="B198" s="3">
        <v>9.8000000000000004E-2</v>
      </c>
      <c r="D198">
        <v>168</v>
      </c>
      <c r="E198">
        <v>680355.59229227679</v>
      </c>
      <c r="F198">
        <v>140373.69770772324</v>
      </c>
    </row>
    <row r="199" spans="1:6" ht="14.45">
      <c r="A199" s="3">
        <v>574066.61</v>
      </c>
      <c r="B199" s="3">
        <v>2.7E-2</v>
      </c>
      <c r="D199">
        <v>169</v>
      </c>
      <c r="E199">
        <v>678968.28774511302</v>
      </c>
      <c r="F199">
        <v>60863.442254886962</v>
      </c>
    </row>
    <row r="200" spans="1:6" ht="14.45">
      <c r="A200" s="3">
        <v>578949.84</v>
      </c>
      <c r="B200" s="3">
        <v>0.28399999999999997</v>
      </c>
      <c r="D200">
        <v>170</v>
      </c>
      <c r="E200">
        <v>684101.31456961902</v>
      </c>
      <c r="F200">
        <v>-90464.174569619005</v>
      </c>
    </row>
    <row r="201" spans="1:6" ht="14.45">
      <c r="A201" s="3">
        <v>735786.64</v>
      </c>
      <c r="B201" s="3">
        <v>0.189</v>
      </c>
      <c r="D201">
        <v>171</v>
      </c>
      <c r="E201">
        <v>676054.94819606899</v>
      </c>
      <c r="F201">
        <v>93647.811803931021</v>
      </c>
    </row>
    <row r="202" spans="1:6" ht="14.45">
      <c r="A202" s="3">
        <v>598904.9</v>
      </c>
      <c r="B202" s="3">
        <v>0.123</v>
      </c>
      <c r="D202">
        <v>172</v>
      </c>
      <c r="E202">
        <v>681465.43593000784</v>
      </c>
      <c r="F202">
        <v>-1733.8659300078871</v>
      </c>
    </row>
    <row r="203" spans="1:6" ht="14.45">
      <c r="A203" s="3">
        <v>787715.51</v>
      </c>
      <c r="B203" s="3">
        <v>0.15</v>
      </c>
      <c r="D203">
        <v>173</v>
      </c>
      <c r="E203">
        <v>676054.94819606899</v>
      </c>
      <c r="F203">
        <v>104289.23180393106</v>
      </c>
    </row>
    <row r="204" spans="1:6" ht="14.45">
      <c r="A204" s="3">
        <v>607084.92000000004</v>
      </c>
      <c r="B204" s="3">
        <v>3.2000000000000001E-2</v>
      </c>
      <c r="D204">
        <v>174</v>
      </c>
      <c r="E204">
        <v>682714.01002245524</v>
      </c>
      <c r="F204">
        <v>38650.099977544742</v>
      </c>
    </row>
    <row r="205" spans="1:6" ht="14.45">
      <c r="A205" s="3">
        <v>650795.49</v>
      </c>
      <c r="B205" s="3">
        <v>0.127</v>
      </c>
      <c r="D205">
        <v>175</v>
      </c>
      <c r="E205">
        <v>680494.32274699316</v>
      </c>
      <c r="F205">
        <v>77643.967253006878</v>
      </c>
    </row>
    <row r="206" spans="1:6" ht="14.45">
      <c r="A206" s="3">
        <v>825060.52</v>
      </c>
      <c r="B206" s="3">
        <v>7.0000000000000007E-2</v>
      </c>
      <c r="D206">
        <v>176</v>
      </c>
      <c r="E206">
        <v>675777.48728663626</v>
      </c>
      <c r="F206">
        <v>128486.51271336374</v>
      </c>
    </row>
    <row r="207" spans="1:6" ht="14.45">
      <c r="A207" s="3">
        <v>795464.47</v>
      </c>
      <c r="B207" s="3">
        <v>0.107</v>
      </c>
      <c r="D207">
        <v>177</v>
      </c>
      <c r="E207">
        <v>691454.02866958722</v>
      </c>
      <c r="F207">
        <v>196083.72133041278</v>
      </c>
    </row>
    <row r="208" spans="1:6" ht="14.45">
      <c r="A208" s="3">
        <v>671868.59</v>
      </c>
      <c r="B208" s="3">
        <v>0.14899999999999999</v>
      </c>
      <c r="D208">
        <v>178</v>
      </c>
      <c r="E208">
        <v>673280.33910174132</v>
      </c>
      <c r="F208">
        <v>110301.66089825868</v>
      </c>
    </row>
    <row r="209" spans="1:6" ht="14.45">
      <c r="A209" s="3">
        <v>675917.63</v>
      </c>
      <c r="B209" s="3">
        <v>0.11600000000000001</v>
      </c>
      <c r="D209">
        <v>179</v>
      </c>
      <c r="E209">
        <v>692147.68094316917</v>
      </c>
      <c r="F209">
        <v>89807.839056830853</v>
      </c>
    </row>
    <row r="210" spans="1:6" ht="14.45">
      <c r="A210" s="3">
        <v>810446.53</v>
      </c>
      <c r="B210" s="3">
        <v>9.7000000000000003E-2</v>
      </c>
      <c r="D210">
        <v>180</v>
      </c>
      <c r="E210">
        <v>696032.13367522776</v>
      </c>
      <c r="F210">
        <v>201998.90632477228</v>
      </c>
    </row>
    <row r="211" spans="1:6" ht="14.45">
      <c r="A211" s="3">
        <v>691288.19</v>
      </c>
      <c r="B211" s="3">
        <v>0.17100000000000001</v>
      </c>
      <c r="D211">
        <v>181</v>
      </c>
      <c r="E211">
        <v>697696.89913182438</v>
      </c>
      <c r="F211">
        <v>157644.38086817565</v>
      </c>
    </row>
    <row r="212" spans="1:6" ht="14.45">
      <c r="A212" s="3">
        <v>946833.54</v>
      </c>
      <c r="B212" s="3">
        <v>2.9000000000000001E-2</v>
      </c>
      <c r="D212">
        <v>182</v>
      </c>
      <c r="E212">
        <v>678274.63547153107</v>
      </c>
      <c r="F212">
        <v>73119.244528468931</v>
      </c>
    </row>
    <row r="213" spans="1:6" ht="14.45">
      <c r="A213" s="3">
        <v>761963.23</v>
      </c>
      <c r="B213" s="3">
        <v>9.2999999999999999E-2</v>
      </c>
      <c r="D213">
        <v>183</v>
      </c>
      <c r="E213">
        <v>682159.08820358966</v>
      </c>
      <c r="F213">
        <v>78917.991796410293</v>
      </c>
    </row>
    <row r="214" spans="1:6" ht="14.45">
      <c r="A214" s="3">
        <v>812152.6</v>
      </c>
      <c r="B214" s="3">
        <v>9.0999999999999998E-2</v>
      </c>
      <c r="D214">
        <v>184</v>
      </c>
      <c r="E214">
        <v>688124.49775639409</v>
      </c>
      <c r="F214">
        <v>131536.09224360588</v>
      </c>
    </row>
    <row r="215" spans="1:6" ht="14.45">
      <c r="A215" s="3">
        <v>804975.5</v>
      </c>
      <c r="B215" s="3">
        <v>0.15</v>
      </c>
      <c r="D215">
        <v>185</v>
      </c>
      <c r="E215">
        <v>687847.03684696136</v>
      </c>
      <c r="F215">
        <v>-5991.4768469613045</v>
      </c>
    </row>
    <row r="216" spans="1:6" ht="14.45">
      <c r="A216" s="3">
        <v>752321.72</v>
      </c>
      <c r="B216" s="3">
        <v>0</v>
      </c>
      <c r="D216">
        <v>186</v>
      </c>
      <c r="E216">
        <v>675500.02637720341</v>
      </c>
      <c r="F216">
        <v>2811.1436227966333</v>
      </c>
    </row>
    <row r="217" spans="1:6" ht="14.45">
      <c r="A217" s="3">
        <v>836908.24</v>
      </c>
      <c r="B217" s="3">
        <v>0.14699999999999999</v>
      </c>
      <c r="D217">
        <v>187</v>
      </c>
      <c r="E217">
        <v>688540.68912054319</v>
      </c>
      <c r="F217">
        <v>77366.260879456764</v>
      </c>
    </row>
    <row r="218" spans="1:6" ht="14.45">
      <c r="A218" s="3">
        <v>674289.1</v>
      </c>
      <c r="B218" s="3">
        <v>0.126</v>
      </c>
      <c r="D218">
        <v>188</v>
      </c>
      <c r="E218">
        <v>684794.96684320096</v>
      </c>
      <c r="F218">
        <v>27751.413156799041</v>
      </c>
    </row>
    <row r="219" spans="1:6" ht="14.45">
      <c r="A219" s="3">
        <v>622892.42000000004</v>
      </c>
      <c r="B219" s="3">
        <v>0.246</v>
      </c>
      <c r="D219">
        <v>189</v>
      </c>
      <c r="E219">
        <v>697835.62958654074</v>
      </c>
      <c r="F219">
        <v>-71841.799586540787</v>
      </c>
    </row>
    <row r="220" spans="1:6" ht="14.45">
      <c r="A220" s="3">
        <v>673348.56</v>
      </c>
      <c r="B220" s="3">
        <v>0.22900000000000001</v>
      </c>
      <c r="D220">
        <v>190</v>
      </c>
      <c r="E220">
        <v>689789.26321299071</v>
      </c>
      <c r="F220">
        <v>-138826.33321299066</v>
      </c>
    </row>
    <row r="221" spans="1:6" ht="14.45">
      <c r="A221" s="3">
        <v>606278.30000000005</v>
      </c>
      <c r="B221" s="3">
        <v>0.13300000000000001</v>
      </c>
      <c r="D221">
        <v>191</v>
      </c>
      <c r="E221">
        <v>661904.44181499816</v>
      </c>
      <c r="F221">
        <v>-218628.85181499814</v>
      </c>
    </row>
    <row r="222" spans="1:6" ht="14.45">
      <c r="A222" s="3">
        <v>712219.81</v>
      </c>
      <c r="B222" s="3">
        <v>0.14599999999999999</v>
      </c>
      <c r="D222">
        <v>192</v>
      </c>
      <c r="E222">
        <v>672031.76500929391</v>
      </c>
      <c r="F222">
        <v>-118019.69500929397</v>
      </c>
    </row>
    <row r="223" spans="1:6" ht="14.45">
      <c r="A223" s="3">
        <v>672670.54</v>
      </c>
      <c r="B223" s="3">
        <v>8.7999999999999995E-2</v>
      </c>
      <c r="D223">
        <v>193</v>
      </c>
      <c r="E223">
        <v>675083.83501305431</v>
      </c>
      <c r="F223">
        <v>-31654.985013054335</v>
      </c>
    </row>
    <row r="224" spans="1:6" ht="14.45">
      <c r="A224" s="3">
        <v>732667.92</v>
      </c>
      <c r="B224" s="3">
        <v>0.11600000000000001</v>
      </c>
      <c r="D224">
        <v>194</v>
      </c>
      <c r="E224">
        <v>677026.06137908367</v>
      </c>
      <c r="F224">
        <v>-65101.791379083646</v>
      </c>
    </row>
    <row r="225" spans="1:6" ht="14.45">
      <c r="A225" s="3">
        <v>723531.4</v>
      </c>
      <c r="B225" s="3">
        <v>3.5000000000000003E-2</v>
      </c>
      <c r="D225">
        <v>195</v>
      </c>
      <c r="E225">
        <v>685488.61911678291</v>
      </c>
      <c r="F225">
        <v>-126066.59911678289</v>
      </c>
    </row>
    <row r="226" spans="1:6" ht="14.45">
      <c r="A226" s="3">
        <v>641564.6</v>
      </c>
      <c r="B226" s="3">
        <v>0.19800000000000001</v>
      </c>
      <c r="D226">
        <v>196</v>
      </c>
      <c r="E226">
        <v>666066.3554564896</v>
      </c>
      <c r="F226">
        <v>-216601.29545648961</v>
      </c>
    </row>
    <row r="227" spans="1:6" ht="14.45">
      <c r="A227" s="3">
        <v>536545.49</v>
      </c>
      <c r="B227" s="3">
        <v>0.112</v>
      </c>
      <c r="D227">
        <v>197</v>
      </c>
      <c r="E227">
        <v>684240.04502433538</v>
      </c>
      <c r="F227">
        <v>7207.3849756646669</v>
      </c>
    </row>
    <row r="228" spans="1:6" ht="14.45">
      <c r="A228" s="3">
        <v>527681.56000000006</v>
      </c>
      <c r="B228" s="3">
        <v>0.17100000000000001</v>
      </c>
      <c r="D228">
        <v>198</v>
      </c>
      <c r="E228">
        <v>694089.90730919852</v>
      </c>
      <c r="F228">
        <v>-120023.29730919853</v>
      </c>
    </row>
    <row r="229" spans="1:6" ht="14.45">
      <c r="A229" s="3">
        <v>529598.93999999994</v>
      </c>
      <c r="B229" s="3">
        <v>9.2999999999999999E-2</v>
      </c>
      <c r="D229">
        <v>199</v>
      </c>
      <c r="E229">
        <v>658436.18044708867</v>
      </c>
      <c r="F229">
        <v>-79486.340447088704</v>
      </c>
    </row>
    <row r="230" spans="1:6" ht="14.45">
      <c r="A230" s="3">
        <v>570963.31000000006</v>
      </c>
      <c r="B230" s="3">
        <v>7.0999999999999994E-2</v>
      </c>
      <c r="D230">
        <v>200</v>
      </c>
      <c r="E230">
        <v>671615.57364514482</v>
      </c>
      <c r="F230">
        <v>64171.066354855197</v>
      </c>
    </row>
    <row r="231" spans="1:6" ht="14.45">
      <c r="A231" s="3">
        <v>870937.4</v>
      </c>
      <c r="B231" s="3">
        <v>0.20200000000000001</v>
      </c>
      <c r="D231">
        <v>201</v>
      </c>
      <c r="E231">
        <v>680771.78365642589</v>
      </c>
      <c r="F231">
        <v>-81866.883656425867</v>
      </c>
    </row>
    <row r="232" spans="1:6" ht="14.45">
      <c r="A232" s="3">
        <v>596969.27</v>
      </c>
      <c r="B232" s="3">
        <v>0.16900000000000001</v>
      </c>
      <c r="D232">
        <v>202</v>
      </c>
      <c r="E232">
        <v>677026.06137908367</v>
      </c>
      <c r="F232">
        <v>110689.44862091634</v>
      </c>
    </row>
    <row r="233" spans="1:6" ht="14.45">
      <c r="A233" s="3">
        <v>647512.85</v>
      </c>
      <c r="B233" s="3">
        <v>0</v>
      </c>
      <c r="D233">
        <v>203</v>
      </c>
      <c r="E233">
        <v>693396.25503561657</v>
      </c>
      <c r="F233">
        <v>-86311.335035616532</v>
      </c>
    </row>
    <row r="234" spans="1:6" ht="14.45">
      <c r="A234" s="3">
        <v>658072.14</v>
      </c>
      <c r="B234" s="3">
        <v>6.9000000000000006E-2</v>
      </c>
      <c r="D234">
        <v>204</v>
      </c>
      <c r="E234">
        <v>680216.86183756043</v>
      </c>
      <c r="F234">
        <v>-29421.371837560437</v>
      </c>
    </row>
    <row r="235" spans="1:6" ht="14.45">
      <c r="A235" s="3">
        <v>723305.11</v>
      </c>
      <c r="B235" s="3">
        <v>0.126</v>
      </c>
      <c r="D235">
        <v>205</v>
      </c>
      <c r="E235">
        <v>688124.49775639409</v>
      </c>
      <c r="F235">
        <v>136936.02224360593</v>
      </c>
    </row>
    <row r="236" spans="1:6" ht="14.45">
      <c r="A236" s="3">
        <v>640666.53</v>
      </c>
      <c r="B236" s="3">
        <v>4.8000000000000001E-2</v>
      </c>
      <c r="D236">
        <v>206</v>
      </c>
      <c r="E236">
        <v>682991.47093188798</v>
      </c>
      <c r="F236">
        <v>112472.999068112</v>
      </c>
    </row>
    <row r="237" spans="1:6" ht="14.45">
      <c r="A237" s="3">
        <v>670629.48</v>
      </c>
      <c r="B237" s="3">
        <v>0.11899999999999999</v>
      </c>
      <c r="D237">
        <v>207</v>
      </c>
      <c r="E237">
        <v>677164.79183380003</v>
      </c>
      <c r="F237">
        <v>-5296.2018338000635</v>
      </c>
    </row>
    <row r="238" spans="1:6" ht="14.45">
      <c r="A238" s="3">
        <v>721079.35</v>
      </c>
      <c r="B238" s="3">
        <v>0.121</v>
      </c>
      <c r="D238">
        <v>208</v>
      </c>
      <c r="E238">
        <v>681742.89683944057</v>
      </c>
      <c r="F238">
        <v>-5825.2668394405628</v>
      </c>
    </row>
    <row r="239" spans="1:6" ht="14.45">
      <c r="A239" s="3">
        <v>810355.02</v>
      </c>
      <c r="B239" s="3">
        <v>0.106</v>
      </c>
      <c r="D239">
        <v>209</v>
      </c>
      <c r="E239">
        <v>684378.77547905187</v>
      </c>
      <c r="F239">
        <v>126067.75452094816</v>
      </c>
    </row>
    <row r="240" spans="1:6" ht="14.45">
      <c r="A240" s="3">
        <v>761919.25</v>
      </c>
      <c r="B240" s="3">
        <v>0.20100000000000001</v>
      </c>
      <c r="D240">
        <v>210</v>
      </c>
      <c r="E240">
        <v>674112.72183003963</v>
      </c>
      <c r="F240">
        <v>17175.46816996031</v>
      </c>
    </row>
    <row r="241" spans="1:6" ht="14.45">
      <c r="A241" s="3">
        <v>737070.18</v>
      </c>
      <c r="B241" s="3">
        <v>0.186</v>
      </c>
      <c r="D241">
        <v>211</v>
      </c>
      <c r="E241">
        <v>693812.44639976567</v>
      </c>
      <c r="F241">
        <v>253021.09360023437</v>
      </c>
    </row>
    <row r="242" spans="1:6" ht="14.45">
      <c r="A242" s="3">
        <v>776992.93</v>
      </c>
      <c r="B242" s="3">
        <v>0.28100000000000003</v>
      </c>
      <c r="D242">
        <v>212</v>
      </c>
      <c r="E242">
        <v>684933.69729791733</v>
      </c>
      <c r="F242">
        <v>77029.532702082652</v>
      </c>
    </row>
    <row r="243" spans="1:6" ht="14.45">
      <c r="A243" s="3">
        <v>676337.41</v>
      </c>
      <c r="B243" s="3">
        <v>5.8999999999999997E-2</v>
      </c>
      <c r="D243">
        <v>213</v>
      </c>
      <c r="E243">
        <v>685211.15820735006</v>
      </c>
      <c r="F243">
        <v>126941.44179264992</v>
      </c>
    </row>
    <row r="244" spans="1:6" ht="14.45">
      <c r="A244" s="3">
        <v>828219.67</v>
      </c>
      <c r="B244" s="3">
        <v>0.152</v>
      </c>
      <c r="D244">
        <v>214</v>
      </c>
      <c r="E244">
        <v>677026.06137908367</v>
      </c>
      <c r="F244">
        <v>127949.43862091633</v>
      </c>
    </row>
    <row r="245" spans="1:6" ht="14.45">
      <c r="A245" s="3">
        <v>763159.92</v>
      </c>
      <c r="B245" s="3">
        <v>0</v>
      </c>
      <c r="D245">
        <v>215</v>
      </c>
      <c r="E245">
        <v>697835.62958654074</v>
      </c>
      <c r="F245">
        <v>54486.090413459227</v>
      </c>
    </row>
    <row r="246" spans="1:6" ht="14.45">
      <c r="A246" s="3">
        <v>802001.68</v>
      </c>
      <c r="B246" s="3">
        <v>8.4000000000000005E-2</v>
      </c>
      <c r="D246">
        <v>216</v>
      </c>
      <c r="E246">
        <v>677442.25274323276</v>
      </c>
      <c r="F246">
        <v>159465.98725676723</v>
      </c>
    </row>
    <row r="247" spans="1:6" ht="14.45">
      <c r="A247" s="3">
        <v>750471.34</v>
      </c>
      <c r="B247" s="3">
        <v>0</v>
      </c>
      <c r="D247">
        <v>217</v>
      </c>
      <c r="E247">
        <v>680355.59229227679</v>
      </c>
      <c r="F247">
        <v>-6066.4922922768164</v>
      </c>
    </row>
    <row r="248" spans="1:6" ht="14.45">
      <c r="A248" s="3">
        <v>679230.86</v>
      </c>
      <c r="B248" s="3">
        <v>0.21</v>
      </c>
      <c r="D248">
        <v>218</v>
      </c>
      <c r="E248">
        <v>663707.93772631104</v>
      </c>
      <c r="F248">
        <v>-40815.517726310994</v>
      </c>
    </row>
    <row r="249" spans="1:6" ht="14.45">
      <c r="A249" s="3">
        <v>679888.74</v>
      </c>
      <c r="B249" s="3">
        <v>0.22700000000000001</v>
      </c>
      <c r="D249">
        <v>219</v>
      </c>
      <c r="E249">
        <v>666066.3554564896</v>
      </c>
      <c r="F249">
        <v>7282.2045435104519</v>
      </c>
    </row>
    <row r="250" spans="1:6" ht="14.45">
      <c r="A250" s="3">
        <v>606783.67000000004</v>
      </c>
      <c r="B250" s="3">
        <v>0.15</v>
      </c>
      <c r="D250">
        <v>220</v>
      </c>
      <c r="E250">
        <v>679384.47910926212</v>
      </c>
      <c r="F250">
        <v>-73106.17910926207</v>
      </c>
    </row>
    <row r="251" spans="1:6" ht="14.45">
      <c r="A251" s="3">
        <v>642751.42000000004</v>
      </c>
      <c r="B251" s="3">
        <v>2.5999999999999999E-2</v>
      </c>
      <c r="D251">
        <v>221</v>
      </c>
      <c r="E251">
        <v>677580.98319794913</v>
      </c>
      <c r="F251">
        <v>34638.826802050928</v>
      </c>
    </row>
    <row r="252" spans="1:6" ht="14.45">
      <c r="A252" s="3">
        <v>647953.78</v>
      </c>
      <c r="B252" s="3">
        <v>0.27300000000000002</v>
      </c>
      <c r="D252">
        <v>222</v>
      </c>
      <c r="E252">
        <v>685627.34957149928</v>
      </c>
      <c r="F252">
        <v>-12956.809571499238</v>
      </c>
    </row>
    <row r="253" spans="1:6" ht="14.45">
      <c r="A253" s="3">
        <v>729440.45</v>
      </c>
      <c r="B253" s="3">
        <v>8.6999999999999994E-2</v>
      </c>
      <c r="D253">
        <v>223</v>
      </c>
      <c r="E253">
        <v>681742.89683944057</v>
      </c>
      <c r="F253">
        <v>50925.023160559474</v>
      </c>
    </row>
    <row r="254" spans="1:6" ht="14.45">
      <c r="A254" s="3">
        <v>764949</v>
      </c>
      <c r="B254" s="3">
        <v>0.05</v>
      </c>
      <c r="D254">
        <v>224</v>
      </c>
      <c r="E254">
        <v>692980.06367146748</v>
      </c>
      <c r="F254">
        <v>30551.336328532547</v>
      </c>
    </row>
    <row r="255" spans="1:6" ht="14.45">
      <c r="A255" s="3">
        <v>799046.94</v>
      </c>
      <c r="B255" s="3">
        <v>7.3999999999999996E-2</v>
      </c>
      <c r="D255">
        <v>225</v>
      </c>
      <c r="E255">
        <v>670366.99955269741</v>
      </c>
      <c r="F255">
        <v>-28802.399552697432</v>
      </c>
    </row>
    <row r="256" spans="1:6" ht="14.45">
      <c r="A256" s="3">
        <v>720079.54</v>
      </c>
      <c r="B256" s="3">
        <v>5.8999999999999997E-2</v>
      </c>
      <c r="D256">
        <v>226</v>
      </c>
      <c r="E256">
        <v>682297.81865830615</v>
      </c>
      <c r="F256">
        <v>-145752.32865830616</v>
      </c>
    </row>
    <row r="257" spans="1:6" ht="14.45">
      <c r="A257" s="3">
        <v>612390.14</v>
      </c>
      <c r="B257" s="3">
        <v>0</v>
      </c>
      <c r="D257">
        <v>227</v>
      </c>
      <c r="E257">
        <v>674112.72183003963</v>
      </c>
      <c r="F257">
        <v>-146431.16183003958</v>
      </c>
    </row>
    <row r="258" spans="1:6" ht="14.45">
      <c r="A258" s="3">
        <v>840108.12</v>
      </c>
      <c r="B258" s="3">
        <v>5.0999999999999997E-2</v>
      </c>
      <c r="D258">
        <v>228</v>
      </c>
      <c r="E258">
        <v>684933.69729791733</v>
      </c>
      <c r="F258">
        <v>-155334.75729791739</v>
      </c>
    </row>
    <row r="259" spans="1:6" ht="14.45">
      <c r="A259" s="3">
        <v>697888.09</v>
      </c>
      <c r="B259" s="3">
        <v>0.114</v>
      </c>
      <c r="D259">
        <v>229</v>
      </c>
      <c r="E259">
        <v>687985.76730167773</v>
      </c>
      <c r="F259">
        <v>-117022.45730167767</v>
      </c>
    </row>
    <row r="260" spans="1:6" ht="14.45">
      <c r="A260" s="3">
        <v>746115.59</v>
      </c>
      <c r="B260" s="3">
        <v>0.14299999999999999</v>
      </c>
      <c r="D260">
        <v>230</v>
      </c>
      <c r="E260">
        <v>669812.07773383183</v>
      </c>
      <c r="F260">
        <v>201125.32226616819</v>
      </c>
    </row>
    <row r="261" spans="1:6" ht="14.45">
      <c r="A261" s="3">
        <v>776110.32</v>
      </c>
      <c r="B261" s="3">
        <v>7.0000000000000001E-3</v>
      </c>
      <c r="D261">
        <v>231</v>
      </c>
      <c r="E261">
        <v>674390.18273947237</v>
      </c>
      <c r="F261">
        <v>-77420.912739472347</v>
      </c>
    </row>
    <row r="262" spans="1:6" ht="14.45">
      <c r="A262" s="3">
        <v>528852.62</v>
      </c>
      <c r="B262" s="3">
        <v>0.13500000000000001</v>
      </c>
      <c r="D262">
        <v>232</v>
      </c>
      <c r="E262">
        <v>697835.62958654074</v>
      </c>
      <c r="F262">
        <v>-50322.779586540768</v>
      </c>
    </row>
    <row r="263" spans="1:6" ht="14.45">
      <c r="A263" s="3">
        <v>605751.32999999996</v>
      </c>
      <c r="B263" s="3">
        <v>0.16900000000000001</v>
      </c>
      <c r="D263">
        <v>233</v>
      </c>
      <c r="E263">
        <v>688263.22821111046</v>
      </c>
      <c r="F263">
        <v>-30191.088211110444</v>
      </c>
    </row>
    <row r="264" spans="1:6" ht="14.45">
      <c r="A264" s="3">
        <v>677640.65</v>
      </c>
      <c r="B264" s="3">
        <v>8.5999999999999993E-2</v>
      </c>
      <c r="D264">
        <v>234</v>
      </c>
      <c r="E264">
        <v>680355.59229227679</v>
      </c>
      <c r="F264">
        <v>42949.517707723193</v>
      </c>
    </row>
    <row r="265" spans="1:6" ht="14.45">
      <c r="A265" s="3">
        <v>636613.23</v>
      </c>
      <c r="B265" s="3">
        <v>0.217</v>
      </c>
      <c r="D265">
        <v>235</v>
      </c>
      <c r="E265">
        <v>691176.56776015449</v>
      </c>
      <c r="F265">
        <v>-50510.037760154461</v>
      </c>
    </row>
    <row r="266" spans="1:6" ht="14.45">
      <c r="A266" s="3">
        <v>708985.19</v>
      </c>
      <c r="B266" s="3">
        <v>9.4E-2</v>
      </c>
      <c r="D266">
        <v>236</v>
      </c>
      <c r="E266">
        <v>681326.70547529147</v>
      </c>
      <c r="F266">
        <v>-10697.225475291489</v>
      </c>
    </row>
    <row r="267" spans="1:6" ht="14.45">
      <c r="A267" s="3">
        <v>767792.94</v>
      </c>
      <c r="B267" s="3">
        <v>0.21099999999999999</v>
      </c>
      <c r="D267">
        <v>237</v>
      </c>
      <c r="E267">
        <v>681049.24456585874</v>
      </c>
      <c r="F267">
        <v>40030.105434141238</v>
      </c>
    </row>
    <row r="268" spans="1:6" ht="14.45">
      <c r="A268" s="3">
        <v>745580.51</v>
      </c>
      <c r="B268" s="3">
        <v>0.17</v>
      </c>
      <c r="D268">
        <v>238</v>
      </c>
      <c r="E268">
        <v>683130.20138660434</v>
      </c>
      <c r="F268">
        <v>127224.81861339568</v>
      </c>
    </row>
    <row r="269" spans="1:6" ht="14.45">
      <c r="A269" s="3">
        <v>762328.31</v>
      </c>
      <c r="B269" s="3">
        <v>2.5999999999999999E-2</v>
      </c>
      <c r="D269">
        <v>239</v>
      </c>
      <c r="E269">
        <v>669950.8081885482</v>
      </c>
      <c r="F269">
        <v>91968.441811451805</v>
      </c>
    </row>
    <row r="270" spans="1:6" ht="14.45">
      <c r="A270" s="3">
        <v>660633.99</v>
      </c>
      <c r="B270" s="3">
        <v>0.106</v>
      </c>
      <c r="D270">
        <v>240</v>
      </c>
      <c r="E270">
        <v>672031.76500929391</v>
      </c>
      <c r="F270">
        <v>65038.414990706136</v>
      </c>
    </row>
    <row r="271" spans="1:6" ht="14.45">
      <c r="A271" s="3">
        <v>739374.56</v>
      </c>
      <c r="B271" s="3">
        <v>0.13900000000000001</v>
      </c>
      <c r="D271">
        <v>241</v>
      </c>
      <c r="E271">
        <v>658852.37181123777</v>
      </c>
      <c r="F271">
        <v>118140.55818876228</v>
      </c>
    </row>
    <row r="272" spans="1:6" ht="14.45">
      <c r="A272" s="3">
        <v>799756.46</v>
      </c>
      <c r="B272" s="3">
        <v>0.19800000000000001</v>
      </c>
      <c r="D272">
        <v>242</v>
      </c>
      <c r="E272">
        <v>689650.53275827423</v>
      </c>
      <c r="F272">
        <v>-13313.122758274199</v>
      </c>
    </row>
    <row r="273" spans="1:6" ht="14.45">
      <c r="A273" s="3">
        <v>593343</v>
      </c>
      <c r="B273" s="3">
        <v>0.111</v>
      </c>
      <c r="D273">
        <v>243</v>
      </c>
      <c r="E273">
        <v>676748.60046965093</v>
      </c>
      <c r="F273">
        <v>151471.06953034911</v>
      </c>
    </row>
    <row r="274" spans="1:6" ht="14.45">
      <c r="A274" s="3">
        <v>645039.97</v>
      </c>
      <c r="B274" s="3">
        <v>5.1999999999999998E-2</v>
      </c>
      <c r="D274">
        <v>244</v>
      </c>
      <c r="E274">
        <v>697835.62958654074</v>
      </c>
      <c r="F274">
        <v>65324.290413459297</v>
      </c>
    </row>
    <row r="275" spans="1:6" ht="14.45">
      <c r="A275" s="3">
        <v>561597.32999999996</v>
      </c>
      <c r="B275" s="3">
        <v>0.153</v>
      </c>
      <c r="D275">
        <v>245</v>
      </c>
      <c r="E275">
        <v>686182.27139036474</v>
      </c>
      <c r="F275">
        <v>115819.40860963531</v>
      </c>
    </row>
    <row r="276" spans="1:6" ht="14.45">
      <c r="A276" s="3">
        <v>635837.74</v>
      </c>
      <c r="B276" s="3">
        <v>0.14099999999999999</v>
      </c>
      <c r="D276">
        <v>246</v>
      </c>
      <c r="E276">
        <v>697835.62958654074</v>
      </c>
      <c r="F276">
        <v>52635.710413459223</v>
      </c>
    </row>
    <row r="277" spans="1:6" ht="14.45">
      <c r="A277" s="3">
        <v>686737.87</v>
      </c>
      <c r="B277" s="3">
        <v>0.247</v>
      </c>
      <c r="D277">
        <v>247</v>
      </c>
      <c r="E277">
        <v>668702.23409610079</v>
      </c>
      <c r="F277">
        <v>10528.625903899199</v>
      </c>
    </row>
    <row r="278" spans="1:6" ht="14.45">
      <c r="A278" s="3">
        <v>673076.34</v>
      </c>
      <c r="B278" s="3">
        <v>0.13</v>
      </c>
      <c r="D278">
        <v>248</v>
      </c>
      <c r="E278">
        <v>666343.81636592234</v>
      </c>
      <c r="F278">
        <v>13544.923634077655</v>
      </c>
    </row>
    <row r="279" spans="1:6" ht="14.45">
      <c r="A279" s="3">
        <v>738548.42</v>
      </c>
      <c r="B279" s="3">
        <v>0</v>
      </c>
      <c r="D279">
        <v>249</v>
      </c>
      <c r="E279">
        <v>677026.06137908367</v>
      </c>
      <c r="F279">
        <v>-70242.391379083623</v>
      </c>
    </row>
    <row r="280" spans="1:6" ht="14.45">
      <c r="A280" s="3">
        <v>756619.77</v>
      </c>
      <c r="B280" s="3">
        <v>0.21299999999999999</v>
      </c>
      <c r="D280">
        <v>250</v>
      </c>
      <c r="E280">
        <v>694228.63776391488</v>
      </c>
      <c r="F280">
        <v>-51477.217763914843</v>
      </c>
    </row>
    <row r="281" spans="1:6" ht="14.45">
      <c r="A281" s="3">
        <v>761122.42</v>
      </c>
      <c r="B281" s="3">
        <v>4.0000000000000001E-3</v>
      </c>
      <c r="D281">
        <v>251</v>
      </c>
      <c r="E281">
        <v>659962.21544896881</v>
      </c>
      <c r="F281">
        <v>-12008.435448968783</v>
      </c>
    </row>
    <row r="282" spans="1:6" ht="14.45">
      <c r="A282" s="3">
        <v>524899.56999999995</v>
      </c>
      <c r="B282" s="3">
        <v>6.9000000000000006E-2</v>
      </c>
      <c r="D282">
        <v>252</v>
      </c>
      <c r="E282">
        <v>685766.08002621564</v>
      </c>
      <c r="F282">
        <v>43674.369973784313</v>
      </c>
    </row>
    <row r="283" spans="1:6" ht="14.45">
      <c r="A283" s="3">
        <v>555557.77</v>
      </c>
      <c r="B283" s="3">
        <v>5.0999999999999997E-2</v>
      </c>
      <c r="D283">
        <v>253</v>
      </c>
      <c r="E283">
        <v>690899.10685072176</v>
      </c>
      <c r="F283">
        <v>74049.893149278243</v>
      </c>
    </row>
    <row r="284" spans="1:6" ht="14.45">
      <c r="A284" s="3">
        <v>714083.68</v>
      </c>
      <c r="B284" s="3">
        <v>7.0000000000000007E-2</v>
      </c>
      <c r="D284">
        <v>254</v>
      </c>
      <c r="E284">
        <v>687569.57593752863</v>
      </c>
      <c r="F284">
        <v>111477.36406247132</v>
      </c>
    </row>
    <row r="285" spans="1:6" ht="14.45">
      <c r="A285" s="3">
        <v>497439.82</v>
      </c>
      <c r="B285" s="3">
        <v>0.122</v>
      </c>
      <c r="D285">
        <v>255</v>
      </c>
      <c r="E285">
        <v>689650.53275827423</v>
      </c>
      <c r="F285">
        <v>30429.007241725805</v>
      </c>
    </row>
    <row r="286" spans="1:6" ht="14.45">
      <c r="A286" s="3">
        <v>636775.66</v>
      </c>
      <c r="B286" s="3">
        <v>8.9999999999999993E-3</v>
      </c>
      <c r="D286">
        <v>256</v>
      </c>
      <c r="E286">
        <v>697835.62958654074</v>
      </c>
      <c r="F286">
        <v>-85445.489586540731</v>
      </c>
    </row>
    <row r="287" spans="1:6" ht="14.45">
      <c r="A287" s="3">
        <v>633009.53</v>
      </c>
      <c r="B287" s="3">
        <v>0.14000000000000001</v>
      </c>
      <c r="D287">
        <v>257</v>
      </c>
      <c r="E287">
        <v>690760.37639600527</v>
      </c>
      <c r="F287">
        <v>149347.74360399472</v>
      </c>
    </row>
    <row r="288" spans="1:6" ht="14.45">
      <c r="A288" s="3">
        <v>609949</v>
      </c>
      <c r="B288" s="3">
        <v>0.183</v>
      </c>
      <c r="D288">
        <v>258</v>
      </c>
      <c r="E288">
        <v>682020.3577488733</v>
      </c>
      <c r="F288">
        <v>15867.732251126668</v>
      </c>
    </row>
    <row r="289" spans="1:6" ht="14.45">
      <c r="A289" s="3">
        <v>548103.69999999995</v>
      </c>
      <c r="B289" s="3">
        <v>0.17399999999999999</v>
      </c>
      <c r="D289">
        <v>259</v>
      </c>
      <c r="E289">
        <v>677997.17456209834</v>
      </c>
      <c r="F289">
        <v>68118.415437901625</v>
      </c>
    </row>
    <row r="290" spans="1:6" ht="14.45">
      <c r="A290" s="3">
        <v>729424.42</v>
      </c>
      <c r="B290" s="3">
        <v>0.27300000000000002</v>
      </c>
      <c r="D290">
        <v>260</v>
      </c>
      <c r="E290">
        <v>696864.51640352607</v>
      </c>
      <c r="F290">
        <v>79245.803596473881</v>
      </c>
    </row>
    <row r="291" spans="1:6" ht="14.45">
      <c r="A291" s="3">
        <v>696261.49</v>
      </c>
      <c r="B291" s="3">
        <v>0.28399999999999997</v>
      </c>
      <c r="D291">
        <v>261</v>
      </c>
      <c r="E291">
        <v>679107.01819982938</v>
      </c>
      <c r="F291">
        <v>-150254.39819982939</v>
      </c>
    </row>
    <row r="292" spans="1:6" ht="14.45">
      <c r="A292" s="3">
        <v>813316.71</v>
      </c>
      <c r="B292" s="3">
        <v>3.2000000000000001E-2</v>
      </c>
      <c r="D292">
        <v>262</v>
      </c>
      <c r="E292">
        <v>674390.18273947237</v>
      </c>
      <c r="F292">
        <v>-68638.852739472408</v>
      </c>
    </row>
    <row r="293" spans="1:6" ht="14.45">
      <c r="A293" s="3">
        <v>702068.92</v>
      </c>
      <c r="B293" s="3">
        <v>0</v>
      </c>
      <c r="D293">
        <v>263</v>
      </c>
      <c r="E293">
        <v>685904.81048093201</v>
      </c>
      <c r="F293">
        <v>-8264.1604809319833</v>
      </c>
    </row>
    <row r="294" spans="1:6" ht="14.45">
      <c r="A294" s="3">
        <v>546223.69999999995</v>
      </c>
      <c r="B294" s="3">
        <v>9.6000000000000002E-2</v>
      </c>
      <c r="D294">
        <v>264</v>
      </c>
      <c r="E294">
        <v>667731.12091308611</v>
      </c>
      <c r="F294">
        <v>-31117.890913086128</v>
      </c>
    </row>
    <row r="295" spans="1:6" ht="14.45">
      <c r="A295" s="3">
        <v>533121.26</v>
      </c>
      <c r="B295" s="3">
        <v>0.11899999999999999</v>
      </c>
      <c r="D295">
        <v>265</v>
      </c>
      <c r="E295">
        <v>684794.96684320096</v>
      </c>
      <c r="F295">
        <v>24190.22315679898</v>
      </c>
    </row>
    <row r="296" spans="1:6" ht="14.45">
      <c r="A296" s="3">
        <v>498970.32</v>
      </c>
      <c r="B296" s="3">
        <v>0.214</v>
      </c>
      <c r="D296">
        <v>266</v>
      </c>
      <c r="E296">
        <v>668563.50364138442</v>
      </c>
      <c r="F296">
        <v>99229.436358615523</v>
      </c>
    </row>
    <row r="297" spans="1:6" ht="14.45">
      <c r="A297" s="3">
        <v>487738.26</v>
      </c>
      <c r="B297" s="3">
        <v>0.17100000000000001</v>
      </c>
      <c r="D297">
        <v>267</v>
      </c>
      <c r="E297">
        <v>674251.452284756</v>
      </c>
      <c r="F297">
        <v>71329.057715244009</v>
      </c>
    </row>
    <row r="298" spans="1:6" ht="14.45">
      <c r="A298" s="3">
        <v>668459.37</v>
      </c>
      <c r="B298" s="3">
        <v>3.5999999999999997E-2</v>
      </c>
      <c r="D298">
        <v>268</v>
      </c>
      <c r="E298">
        <v>694228.63776391488</v>
      </c>
      <c r="F298">
        <v>68099.672236085171</v>
      </c>
    </row>
    <row r="299" spans="1:6" ht="14.45">
      <c r="A299" s="3">
        <v>763162.45</v>
      </c>
      <c r="B299" s="3">
        <v>0.10199999999999999</v>
      </c>
      <c r="D299">
        <v>269</v>
      </c>
      <c r="E299">
        <v>683130.20138660434</v>
      </c>
      <c r="F299">
        <v>-22496.211386604351</v>
      </c>
    </row>
    <row r="300" spans="1:6" ht="14.45">
      <c r="A300" s="3">
        <v>599017.32999999996</v>
      </c>
      <c r="B300" s="3">
        <v>0.114</v>
      </c>
      <c r="D300">
        <v>270</v>
      </c>
      <c r="E300">
        <v>678552.09638096381</v>
      </c>
      <c r="F300">
        <v>60822.463619036251</v>
      </c>
    </row>
    <row r="301" spans="1:6" ht="14.45">
      <c r="A301" s="3">
        <v>401582.58</v>
      </c>
      <c r="B301" s="3">
        <v>0.11700000000000001</v>
      </c>
      <c r="D301">
        <v>271</v>
      </c>
      <c r="E301">
        <v>670366.99955269741</v>
      </c>
      <c r="F301">
        <v>129389.46044730255</v>
      </c>
    </row>
    <row r="302" spans="1:6" ht="14.45">
      <c r="A302" s="3">
        <v>703812.99</v>
      </c>
      <c r="B302" s="3">
        <v>0.14099999999999999</v>
      </c>
      <c r="D302">
        <v>272</v>
      </c>
      <c r="E302">
        <v>682436.54911302251</v>
      </c>
      <c r="F302">
        <v>-89093.549113022513</v>
      </c>
    </row>
    <row r="303" spans="1:6" ht="14.45">
      <c r="A303" s="3">
        <v>724346.73</v>
      </c>
      <c r="B303" s="3">
        <v>7.3999999999999996E-2</v>
      </c>
      <c r="D303">
        <v>273</v>
      </c>
      <c r="E303">
        <v>690621.64594128891</v>
      </c>
      <c r="F303">
        <v>-45581.675941288937</v>
      </c>
    </row>
    <row r="304" spans="1:6" ht="14.45">
      <c r="A304" s="3">
        <v>730890.01</v>
      </c>
      <c r="B304" s="3">
        <v>0.13800000000000001</v>
      </c>
      <c r="D304">
        <v>274</v>
      </c>
      <c r="E304">
        <v>676609.87001493445</v>
      </c>
      <c r="F304">
        <v>-115012.54001493449</v>
      </c>
    </row>
    <row r="305" spans="1:6" ht="14.45">
      <c r="A305" s="3">
        <v>780580.95</v>
      </c>
      <c r="B305" s="3">
        <v>0.19800000000000001</v>
      </c>
      <c r="D305">
        <v>275</v>
      </c>
      <c r="E305">
        <v>678274.63547153107</v>
      </c>
      <c r="F305">
        <v>-42436.895471531083</v>
      </c>
    </row>
    <row r="306" spans="1:6" ht="14.45">
      <c r="A306" s="3">
        <v>727957.48</v>
      </c>
      <c r="B306" s="3">
        <v>0.183</v>
      </c>
      <c r="D306">
        <v>276</v>
      </c>
      <c r="E306">
        <v>663569.20727159467</v>
      </c>
      <c r="F306">
        <v>23168.662728405325</v>
      </c>
    </row>
    <row r="307" spans="1:6" ht="14.45">
      <c r="A307" s="3">
        <v>538376</v>
      </c>
      <c r="B307" s="3">
        <v>4.7E-2</v>
      </c>
      <c r="D307">
        <v>277</v>
      </c>
      <c r="E307">
        <v>679800.67047341121</v>
      </c>
      <c r="F307">
        <v>-6724.3304734112462</v>
      </c>
    </row>
    <row r="308" spans="1:6" ht="14.45">
      <c r="A308" s="3">
        <v>665342.49</v>
      </c>
      <c r="B308" s="3">
        <v>0.14599999999999999</v>
      </c>
      <c r="D308">
        <v>278</v>
      </c>
      <c r="E308">
        <v>697835.62958654074</v>
      </c>
      <c r="F308">
        <v>40712.790413459297</v>
      </c>
    </row>
    <row r="309" spans="1:6" ht="14.45">
      <c r="A309" s="3">
        <v>651164.18000000005</v>
      </c>
      <c r="B309" s="3">
        <v>7.4999999999999997E-2</v>
      </c>
      <c r="D309">
        <v>279</v>
      </c>
      <c r="E309">
        <v>668286.04273195169</v>
      </c>
      <c r="F309">
        <v>88333.727268048329</v>
      </c>
    </row>
    <row r="310" spans="1:6" ht="14.45">
      <c r="A310" s="3">
        <v>628538.30000000005</v>
      </c>
      <c r="B310" s="3">
        <v>0.154</v>
      </c>
      <c r="D310">
        <v>280</v>
      </c>
      <c r="E310">
        <v>697280.70776767517</v>
      </c>
      <c r="F310">
        <v>63841.712232324877</v>
      </c>
    </row>
    <row r="311" spans="1:6" ht="14.45">
      <c r="A311" s="3">
        <v>536524.84</v>
      </c>
      <c r="B311" s="3">
        <v>0.16700000000000001</v>
      </c>
      <c r="D311">
        <v>281</v>
      </c>
      <c r="E311">
        <v>688263.22821111046</v>
      </c>
      <c r="F311">
        <v>-163363.65821111051</v>
      </c>
    </row>
    <row r="312" spans="1:6" ht="14.45">
      <c r="A312" s="3">
        <v>621677.30000000005</v>
      </c>
      <c r="B312" s="3">
        <v>0.2</v>
      </c>
      <c r="D312">
        <v>282</v>
      </c>
      <c r="E312">
        <v>690760.37639600527</v>
      </c>
      <c r="F312">
        <v>-135202.60639600526</v>
      </c>
    </row>
    <row r="313" spans="1:6" ht="14.45">
      <c r="A313" s="3">
        <v>771129.07</v>
      </c>
      <c r="B313" s="3">
        <v>0.14199999999999999</v>
      </c>
      <c r="D313">
        <v>283</v>
      </c>
      <c r="E313">
        <v>688124.49775639409</v>
      </c>
      <c r="F313">
        <v>25959.182243605959</v>
      </c>
    </row>
    <row r="314" spans="1:6" ht="14.45">
      <c r="A314" s="3">
        <v>702052.47</v>
      </c>
      <c r="B314" s="3">
        <v>2.1000000000000001E-2</v>
      </c>
      <c r="D314">
        <v>284</v>
      </c>
      <c r="E314">
        <v>680910.51411114226</v>
      </c>
      <c r="F314">
        <v>-183470.69411114225</v>
      </c>
    </row>
    <row r="315" spans="1:6" ht="14.45">
      <c r="A315" s="3">
        <v>688368.46</v>
      </c>
      <c r="B315" s="3">
        <v>0.183</v>
      </c>
      <c r="D315">
        <v>285</v>
      </c>
      <c r="E315">
        <v>696587.05549409334</v>
      </c>
      <c r="F315">
        <v>-59811.395494093304</v>
      </c>
    </row>
    <row r="316" spans="1:6" ht="14.45">
      <c r="A316" s="3">
        <v>712375.77</v>
      </c>
      <c r="B316" s="3">
        <v>9.0999999999999998E-2</v>
      </c>
      <c r="D316">
        <v>286</v>
      </c>
      <c r="E316">
        <v>678413.36592624744</v>
      </c>
      <c r="F316">
        <v>-45403.835926247411</v>
      </c>
    </row>
    <row r="317" spans="1:6" ht="14.45">
      <c r="A317" s="3">
        <v>844710.67</v>
      </c>
      <c r="B317" s="3">
        <v>0.108</v>
      </c>
      <c r="D317">
        <v>287</v>
      </c>
      <c r="E317">
        <v>672447.95637344313</v>
      </c>
      <c r="F317">
        <v>-62498.956373443129</v>
      </c>
    </row>
    <row r="318" spans="1:6" ht="14.45">
      <c r="A318" s="3">
        <v>620264.19999999995</v>
      </c>
      <c r="B318" s="3">
        <v>0.17399999999999999</v>
      </c>
      <c r="D318">
        <v>288</v>
      </c>
      <c r="E318">
        <v>673696.53046589054</v>
      </c>
      <c r="F318">
        <v>-125592.83046589058</v>
      </c>
    </row>
    <row r="319" spans="1:6" ht="14.45">
      <c r="A319" s="3">
        <v>536845.42000000004</v>
      </c>
      <c r="B319" s="3">
        <v>0</v>
      </c>
      <c r="D319">
        <v>289</v>
      </c>
      <c r="E319">
        <v>659962.21544896881</v>
      </c>
      <c r="F319">
        <v>69462.204551031231</v>
      </c>
    </row>
    <row r="320" spans="1:6" ht="14.45">
      <c r="A320" s="3">
        <v>726776.22</v>
      </c>
      <c r="B320" s="3">
        <v>0.215</v>
      </c>
      <c r="D320">
        <v>290</v>
      </c>
      <c r="E320">
        <v>658436.18044708867</v>
      </c>
      <c r="F320">
        <v>37825.30955291132</v>
      </c>
    </row>
    <row r="321" spans="1:6" ht="14.45">
      <c r="A321" s="3">
        <v>559660.84</v>
      </c>
      <c r="B321" s="3">
        <v>0.16500000000000001</v>
      </c>
      <c r="D321">
        <v>291</v>
      </c>
      <c r="E321">
        <v>693396.25503561657</v>
      </c>
      <c r="F321">
        <v>119920.45496438339</v>
      </c>
    </row>
    <row r="322" spans="1:6">
      <c r="D322">
        <v>292</v>
      </c>
      <c r="E322">
        <v>697835.62958654074</v>
      </c>
      <c r="F322">
        <v>4233.2904134592973</v>
      </c>
    </row>
    <row r="323" spans="1:6">
      <c r="D323">
        <v>293</v>
      </c>
      <c r="E323">
        <v>684517.50593376823</v>
      </c>
      <c r="F323">
        <v>-138293.80593376828</v>
      </c>
    </row>
    <row r="324" spans="1:6">
      <c r="D324">
        <v>294</v>
      </c>
      <c r="E324">
        <v>681326.70547529147</v>
      </c>
      <c r="F324">
        <v>-148205.44547529146</v>
      </c>
    </row>
    <row r="325" spans="1:6">
      <c r="D325">
        <v>295</v>
      </c>
      <c r="E325">
        <v>668147.31227723532</v>
      </c>
      <c r="F325">
        <v>-169176.99227723532</v>
      </c>
    </row>
    <row r="326" spans="1:6">
      <c r="D326">
        <v>296</v>
      </c>
      <c r="E326">
        <v>674112.72183003963</v>
      </c>
      <c r="F326">
        <v>-186374.46183003963</v>
      </c>
    </row>
    <row r="327" spans="1:6">
      <c r="D327">
        <v>297</v>
      </c>
      <c r="E327">
        <v>692841.33321675099</v>
      </c>
      <c r="F327">
        <v>-24381.963216750999</v>
      </c>
    </row>
    <row r="328" spans="1:6">
      <c r="D328">
        <v>298</v>
      </c>
      <c r="E328">
        <v>683685.12320546992</v>
      </c>
      <c r="F328">
        <v>79477.326794530032</v>
      </c>
    </row>
    <row r="329" spans="1:6">
      <c r="D329">
        <v>299</v>
      </c>
      <c r="E329">
        <v>682020.3577488733</v>
      </c>
      <c r="F329">
        <v>-83003.027748873341</v>
      </c>
    </row>
    <row r="330" spans="1:6">
      <c r="D330">
        <v>300</v>
      </c>
      <c r="E330">
        <v>681604.1663847242</v>
      </c>
      <c r="F330">
        <v>-280021.58638472419</v>
      </c>
    </row>
    <row r="331" spans="1:6">
      <c r="D331">
        <v>301</v>
      </c>
      <c r="E331">
        <v>678274.63547153107</v>
      </c>
      <c r="F331">
        <v>25538.354528468917</v>
      </c>
    </row>
    <row r="332" spans="1:6">
      <c r="D332">
        <v>302</v>
      </c>
      <c r="E332">
        <v>687569.57593752863</v>
      </c>
      <c r="F332">
        <v>36777.154062471353</v>
      </c>
    </row>
    <row r="333" spans="1:6">
      <c r="D333">
        <v>303</v>
      </c>
      <c r="E333">
        <v>678690.82683568017</v>
      </c>
      <c r="F333">
        <v>52199.183164319838</v>
      </c>
    </row>
    <row r="334" spans="1:6">
      <c r="D334">
        <v>304</v>
      </c>
      <c r="E334">
        <v>670366.99955269741</v>
      </c>
      <c r="F334">
        <v>110213.95044730254</v>
      </c>
    </row>
    <row r="335" spans="1:6">
      <c r="D335">
        <v>305</v>
      </c>
      <c r="E335">
        <v>672447.95637344313</v>
      </c>
      <c r="F335">
        <v>55509.523626556853</v>
      </c>
    </row>
    <row r="336" spans="1:6">
      <c r="D336">
        <v>306</v>
      </c>
      <c r="E336">
        <v>691315.29821487085</v>
      </c>
      <c r="F336">
        <v>-152939.29821487085</v>
      </c>
    </row>
    <row r="337" spans="4:6">
      <c r="D337">
        <v>307</v>
      </c>
      <c r="E337">
        <v>677580.98319794913</v>
      </c>
      <c r="F337">
        <v>-12238.493197949138</v>
      </c>
    </row>
    <row r="338" spans="4:6">
      <c r="D338">
        <v>308</v>
      </c>
      <c r="E338">
        <v>687430.84548281215</v>
      </c>
      <c r="F338">
        <v>-36266.665482812095</v>
      </c>
    </row>
    <row r="339" spans="4:6">
      <c r="D339">
        <v>309</v>
      </c>
      <c r="E339">
        <v>676471.13956021809</v>
      </c>
      <c r="F339">
        <v>-47932.839560218039</v>
      </c>
    </row>
    <row r="340" spans="4:6">
      <c r="D340">
        <v>310</v>
      </c>
      <c r="E340">
        <v>674667.64364890521</v>
      </c>
      <c r="F340">
        <v>-138142.80364890525</v>
      </c>
    </row>
    <row r="341" spans="4:6">
      <c r="D341">
        <v>311</v>
      </c>
      <c r="E341">
        <v>670089.53864326456</v>
      </c>
      <c r="F341">
        <v>-48412.238643264514</v>
      </c>
    </row>
    <row r="342" spans="4:6">
      <c r="D342">
        <v>312</v>
      </c>
      <c r="E342">
        <v>678135.90501681471</v>
      </c>
      <c r="F342">
        <v>92993.164983185241</v>
      </c>
    </row>
    <row r="343" spans="4:6">
      <c r="D343">
        <v>313</v>
      </c>
      <c r="E343">
        <v>694922.29003749671</v>
      </c>
      <c r="F343">
        <v>7130.1799625032581</v>
      </c>
    </row>
    <row r="344" spans="4:6">
      <c r="D344">
        <v>314</v>
      </c>
      <c r="E344">
        <v>672447.95637344313</v>
      </c>
      <c r="F344">
        <v>15920.503626556834</v>
      </c>
    </row>
    <row r="345" spans="4:6">
      <c r="D345">
        <v>315</v>
      </c>
      <c r="E345">
        <v>685211.15820735006</v>
      </c>
      <c r="F345">
        <v>27164.611792649957</v>
      </c>
    </row>
    <row r="346" spans="4:6">
      <c r="D346">
        <v>316</v>
      </c>
      <c r="E346">
        <v>682852.74047717161</v>
      </c>
      <c r="F346">
        <v>161857.92952282843</v>
      </c>
    </row>
    <row r="347" spans="4:6">
      <c r="D347">
        <v>317</v>
      </c>
      <c r="E347">
        <v>673696.53046589054</v>
      </c>
      <c r="F347">
        <v>-53432.330465890584</v>
      </c>
    </row>
    <row r="348" spans="4:6">
      <c r="D348">
        <v>318</v>
      </c>
      <c r="E348">
        <v>697835.62958654074</v>
      </c>
      <c r="F348">
        <v>-160990.2095865407</v>
      </c>
    </row>
    <row r="349" spans="4:6">
      <c r="D349">
        <v>319</v>
      </c>
      <c r="E349">
        <v>668008.58182251884</v>
      </c>
      <c r="F349">
        <v>58767.638177481131</v>
      </c>
    </row>
    <row r="350" spans="4:6" ht="14.45" thickBot="1">
      <c r="D350" s="7">
        <v>320</v>
      </c>
      <c r="E350" s="7">
        <v>674945.10455833795</v>
      </c>
      <c r="F350" s="7">
        <v>-115284.26455833798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4B73-FA3F-49D0-A8C4-6A64C65FF7CA}">
  <dimension ref="A1:U358"/>
  <sheetViews>
    <sheetView topLeftCell="L14" workbookViewId="0">
      <selection activeCell="N27" sqref="N27"/>
    </sheetView>
  </sheetViews>
  <sheetFormatPr defaultRowHeight="13.9"/>
  <cols>
    <col min="1" max="11" width="16" customWidth="1"/>
    <col min="13" max="13" width="20.875" customWidth="1"/>
    <col min="14" max="14" width="21.375" customWidth="1"/>
    <col min="15" max="15" width="13.25" customWidth="1"/>
    <col min="18" max="18" width="12.125" customWidth="1"/>
    <col min="19" max="19" width="12.25" customWidth="1"/>
    <col min="20" max="20" width="13.625" customWidth="1"/>
    <col min="21" max="21" width="12.375" customWidth="1"/>
  </cols>
  <sheetData>
    <row r="1" spans="1:18" ht="28.9">
      <c r="A1" s="2" t="s">
        <v>13</v>
      </c>
      <c r="B1" s="2" t="s">
        <v>19</v>
      </c>
      <c r="C1" s="2" t="s">
        <v>14</v>
      </c>
      <c r="D1" s="2" t="s">
        <v>23</v>
      </c>
      <c r="E1" s="2" t="s">
        <v>39</v>
      </c>
      <c r="F1" s="10" t="s">
        <v>45</v>
      </c>
      <c r="G1" s="2" t="s">
        <v>38</v>
      </c>
      <c r="H1" s="2" t="s">
        <v>43</v>
      </c>
      <c r="I1" s="10" t="s">
        <v>136</v>
      </c>
      <c r="J1" s="11" t="s">
        <v>137</v>
      </c>
      <c r="K1" s="11" t="s">
        <v>138</v>
      </c>
    </row>
    <row r="2" spans="1:18" ht="14.45">
      <c r="A2" s="3">
        <v>658832.62</v>
      </c>
      <c r="B2" s="3">
        <v>70389.11</v>
      </c>
      <c r="C2" s="3">
        <v>8302</v>
      </c>
      <c r="D2" s="3">
        <v>4.2000000000000003E-2</v>
      </c>
      <c r="E2" s="3">
        <v>75</v>
      </c>
      <c r="F2" s="3">
        <f>Cleaned_data!O2</f>
        <v>3.1</v>
      </c>
      <c r="G2" s="3">
        <v>17</v>
      </c>
      <c r="H2" s="3">
        <v>1</v>
      </c>
      <c r="I2" s="3">
        <f>Dummy_variables!S2</f>
        <v>0</v>
      </c>
      <c r="J2" s="3">
        <f>Dummy_variables!T2</f>
        <v>0</v>
      </c>
      <c r="K2" s="3">
        <f>Dummy_variables!U2</f>
        <v>1</v>
      </c>
    </row>
    <row r="3" spans="1:18" ht="14.45">
      <c r="A3" s="3">
        <v>634436</v>
      </c>
      <c r="B3" s="3">
        <v>43827.89</v>
      </c>
      <c r="C3" s="3">
        <v>8487</v>
      </c>
      <c r="D3" s="3">
        <v>0.16800000000000001</v>
      </c>
      <c r="E3" s="3">
        <v>84.4</v>
      </c>
      <c r="F3" s="3">
        <f>Cleaned_data!O3</f>
        <v>2.8</v>
      </c>
      <c r="G3" s="3">
        <v>23</v>
      </c>
      <c r="H3" s="3">
        <v>0</v>
      </c>
      <c r="I3" s="3">
        <f>Dummy_variables!S3</f>
        <v>0</v>
      </c>
      <c r="J3" s="3">
        <f>Dummy_variables!T3</f>
        <v>0</v>
      </c>
      <c r="K3" s="3">
        <f>Dummy_variables!U3</f>
        <v>1</v>
      </c>
    </row>
    <row r="4" spans="1:18" ht="14.45">
      <c r="A4" s="3">
        <v>678722.06</v>
      </c>
      <c r="B4" s="3">
        <v>59921.75</v>
      </c>
      <c r="C4" s="3">
        <v>9113</v>
      </c>
      <c r="D4" s="3">
        <v>0.13300000000000001</v>
      </c>
      <c r="E4" s="3">
        <v>88</v>
      </c>
      <c r="F4" s="3">
        <f>Cleaned_data!O4</f>
        <v>3.2</v>
      </c>
      <c r="G4" s="3">
        <v>20</v>
      </c>
      <c r="H4" s="3">
        <v>0</v>
      </c>
      <c r="I4" s="3">
        <f>Dummy_variables!S4</f>
        <v>0</v>
      </c>
      <c r="J4" s="3">
        <f>Dummy_variables!T4</f>
        <v>0</v>
      </c>
      <c r="K4" s="3">
        <f>Dummy_variables!U4</f>
        <v>1</v>
      </c>
    </row>
    <row r="5" spans="1:18" ht="14.45">
      <c r="A5" s="3">
        <v>658920.30000000005</v>
      </c>
      <c r="B5" s="3">
        <v>56856.63</v>
      </c>
      <c r="C5" s="3">
        <v>9431</v>
      </c>
      <c r="D5" s="3">
        <v>0.14199999999999999</v>
      </c>
      <c r="E5" s="3">
        <v>86.9</v>
      </c>
      <c r="F5" s="3">
        <f>Cleaned_data!O5</f>
        <v>3.4</v>
      </c>
      <c r="G5" s="3">
        <v>23</v>
      </c>
      <c r="H5" s="3">
        <v>0</v>
      </c>
      <c r="I5" s="3">
        <f>Dummy_variables!S5</f>
        <v>0</v>
      </c>
      <c r="J5" s="3">
        <f>Dummy_variables!T5</f>
        <v>0</v>
      </c>
      <c r="K5" s="3">
        <f>Dummy_variables!U5</f>
        <v>1</v>
      </c>
    </row>
    <row r="6" spans="1:18" ht="14.45">
      <c r="A6" s="3">
        <v>741341.44</v>
      </c>
      <c r="B6" s="3">
        <v>48412.639999999999</v>
      </c>
      <c r="C6" s="3">
        <v>9545</v>
      </c>
      <c r="D6" s="3">
        <v>0.23100000000000001</v>
      </c>
      <c r="E6" s="3">
        <v>97.6</v>
      </c>
      <c r="F6" s="3">
        <f>Cleaned_data!O6</f>
        <v>4.2</v>
      </c>
      <c r="G6" s="3">
        <v>21</v>
      </c>
      <c r="H6" s="3">
        <v>1</v>
      </c>
      <c r="I6" s="3">
        <f>Dummy_variables!S6</f>
        <v>1</v>
      </c>
      <c r="J6" s="3">
        <f>Dummy_variables!T6</f>
        <v>0</v>
      </c>
      <c r="K6" s="3">
        <f>Dummy_variables!U6</f>
        <v>0</v>
      </c>
      <c r="M6" t="s">
        <v>143</v>
      </c>
    </row>
    <row r="7" spans="1:18" ht="15" thickBot="1">
      <c r="A7" s="3">
        <v>761835.34</v>
      </c>
      <c r="B7" s="3">
        <v>64811.21</v>
      </c>
      <c r="C7" s="3">
        <v>9792</v>
      </c>
      <c r="D7" s="3">
        <v>0.112</v>
      </c>
      <c r="E7" s="3">
        <v>84.2</v>
      </c>
      <c r="F7" s="3">
        <f>Cleaned_data!O7</f>
        <v>4.2</v>
      </c>
      <c r="G7" s="3">
        <v>20</v>
      </c>
      <c r="H7" s="3">
        <v>0</v>
      </c>
      <c r="I7" s="3">
        <f>Dummy_variables!S7</f>
        <v>1</v>
      </c>
      <c r="J7" s="3">
        <f>Dummy_variables!T7</f>
        <v>0</v>
      </c>
      <c r="K7" s="3">
        <f>Dummy_variables!U7</f>
        <v>0</v>
      </c>
    </row>
    <row r="8" spans="1:18" ht="14.45">
      <c r="A8" s="3">
        <v>806615.54</v>
      </c>
      <c r="B8" s="3">
        <v>46213.45</v>
      </c>
      <c r="C8" s="3">
        <v>10616</v>
      </c>
      <c r="D8" s="3">
        <v>0.122</v>
      </c>
      <c r="E8" s="3">
        <v>85.2</v>
      </c>
      <c r="F8" s="3">
        <f>Cleaned_data!O8</f>
        <v>4.0999999999999996</v>
      </c>
      <c r="G8" s="3">
        <v>22</v>
      </c>
      <c r="H8" s="3">
        <v>1</v>
      </c>
      <c r="I8" s="3">
        <f>Dummy_variables!S8</f>
        <v>1</v>
      </c>
      <c r="J8" s="3">
        <f>Dummy_variables!T8</f>
        <v>0</v>
      </c>
      <c r="K8" s="3">
        <f>Dummy_variables!U8</f>
        <v>0</v>
      </c>
      <c r="M8" s="9" t="s">
        <v>144</v>
      </c>
      <c r="N8" s="9"/>
    </row>
    <row r="9" spans="1:18" ht="14.45">
      <c r="A9" s="3">
        <v>850164.26</v>
      </c>
      <c r="B9" s="3">
        <v>68148.52</v>
      </c>
      <c r="C9" s="3">
        <v>8567</v>
      </c>
      <c r="D9" s="3">
        <v>0.127</v>
      </c>
      <c r="E9" s="3">
        <v>95.6</v>
      </c>
      <c r="F9" s="3">
        <f>Cleaned_data!O9</f>
        <v>3.9</v>
      </c>
      <c r="G9" s="3">
        <v>23</v>
      </c>
      <c r="H9" s="3">
        <v>0</v>
      </c>
      <c r="I9" s="3">
        <f>Dummy_variables!S9</f>
        <v>1</v>
      </c>
      <c r="J9" s="3">
        <f>Dummy_variables!T9</f>
        <v>0</v>
      </c>
      <c r="K9" s="3">
        <f>Dummy_variables!U9</f>
        <v>0</v>
      </c>
      <c r="M9" t="s">
        <v>145</v>
      </c>
      <c r="N9">
        <v>0.91001771986846758</v>
      </c>
    </row>
    <row r="10" spans="1:18" ht="14.45">
      <c r="A10" s="3">
        <v>930581.7</v>
      </c>
      <c r="B10" s="3">
        <v>71838.86</v>
      </c>
      <c r="C10" s="3">
        <v>10979</v>
      </c>
      <c r="D10" s="3">
        <v>0.215</v>
      </c>
      <c r="E10" s="3">
        <v>88.6</v>
      </c>
      <c r="F10" s="3">
        <f>Cleaned_data!O10</f>
        <v>3.8</v>
      </c>
      <c r="G10" s="3">
        <v>26</v>
      </c>
      <c r="H10" s="3">
        <v>1</v>
      </c>
      <c r="I10" s="3">
        <f>Dummy_variables!S10</f>
        <v>0</v>
      </c>
      <c r="J10" s="3">
        <f>Dummy_variables!T10</f>
        <v>0</v>
      </c>
      <c r="K10" s="3">
        <f>Dummy_variables!U10</f>
        <v>0</v>
      </c>
      <c r="M10" t="s">
        <v>146</v>
      </c>
      <c r="N10">
        <v>0.82813225047460481</v>
      </c>
    </row>
    <row r="11" spans="1:18" ht="14.45">
      <c r="A11" s="3">
        <v>779010.94</v>
      </c>
      <c r="B11" s="3">
        <v>68133.440000000002</v>
      </c>
      <c r="C11" s="3">
        <v>9459</v>
      </c>
      <c r="D11" s="3">
        <v>0.22</v>
      </c>
      <c r="E11" s="3">
        <v>85</v>
      </c>
      <c r="F11" s="3">
        <f>Cleaned_data!O11</f>
        <v>4.2</v>
      </c>
      <c r="G11" s="3">
        <v>21</v>
      </c>
      <c r="H11" s="3">
        <v>0</v>
      </c>
      <c r="I11" s="3">
        <f>Dummy_variables!S11</f>
        <v>0</v>
      </c>
      <c r="J11" s="3">
        <f>Dummy_variables!T11</f>
        <v>0</v>
      </c>
      <c r="K11" s="3">
        <f>Dummy_variables!U11</f>
        <v>0</v>
      </c>
      <c r="M11" t="s">
        <v>147</v>
      </c>
      <c r="N11">
        <v>0.82257018738316801</v>
      </c>
    </row>
    <row r="12" spans="1:18" ht="14.45">
      <c r="A12" s="3">
        <v>723060.76</v>
      </c>
      <c r="B12" s="3">
        <v>34285.21</v>
      </c>
      <c r="C12" s="3">
        <v>9172</v>
      </c>
      <c r="D12" s="3">
        <v>0.21299999999999999</v>
      </c>
      <c r="E12" s="3">
        <v>88.3</v>
      </c>
      <c r="F12" s="3">
        <f>Cleaned_data!O12</f>
        <v>3.8</v>
      </c>
      <c r="G12" s="3">
        <v>22</v>
      </c>
      <c r="H12" s="3">
        <v>1</v>
      </c>
      <c r="I12" s="3">
        <f>Dummy_variables!S12</f>
        <v>0</v>
      </c>
      <c r="J12" s="3">
        <f>Dummy_variables!T12</f>
        <v>0</v>
      </c>
      <c r="K12" s="3">
        <f>Dummy_variables!U12</f>
        <v>0</v>
      </c>
      <c r="M12" t="s">
        <v>148</v>
      </c>
      <c r="N12">
        <v>43711.125101412748</v>
      </c>
    </row>
    <row r="13" spans="1:18" ht="15" thickBot="1">
      <c r="A13" s="3">
        <v>910791.94</v>
      </c>
      <c r="B13" s="3">
        <v>67979.88</v>
      </c>
      <c r="C13" s="3">
        <v>11230</v>
      </c>
      <c r="D13" s="3">
        <v>2E-3</v>
      </c>
      <c r="E13" s="3">
        <v>85.3</v>
      </c>
      <c r="F13" s="3">
        <f>Cleaned_data!O13</f>
        <v>3.8</v>
      </c>
      <c r="G13" s="3">
        <v>28</v>
      </c>
      <c r="H13" s="3">
        <v>0</v>
      </c>
      <c r="I13" s="3">
        <f>Dummy_variables!S13</f>
        <v>0</v>
      </c>
      <c r="J13" s="3">
        <f>Dummy_variables!T13</f>
        <v>0</v>
      </c>
      <c r="K13" s="3">
        <f>Dummy_variables!U13</f>
        <v>0</v>
      </c>
      <c r="M13" s="7" t="s">
        <v>149</v>
      </c>
      <c r="N13" s="7">
        <v>320</v>
      </c>
    </row>
    <row r="14" spans="1:18" ht="14.45">
      <c r="A14" s="3">
        <v>922168.6</v>
      </c>
      <c r="B14" s="3">
        <v>71828.259999999995</v>
      </c>
      <c r="C14" s="3">
        <v>12775</v>
      </c>
      <c r="D14" s="3">
        <v>0.11600000000000001</v>
      </c>
      <c r="E14" s="3">
        <v>81.7</v>
      </c>
      <c r="F14" s="3">
        <f>Cleaned_data!O14</f>
        <v>4.2</v>
      </c>
      <c r="G14" s="3">
        <v>30</v>
      </c>
      <c r="H14" s="3">
        <v>1</v>
      </c>
      <c r="I14" s="3">
        <f>Dummy_variables!S14</f>
        <v>0</v>
      </c>
      <c r="J14" s="3">
        <f>Dummy_variables!T14</f>
        <v>0</v>
      </c>
      <c r="K14" s="3">
        <f>Dummy_variables!U14</f>
        <v>1</v>
      </c>
    </row>
    <row r="15" spans="1:18" ht="15" thickBot="1">
      <c r="A15" s="3">
        <v>726606.28</v>
      </c>
      <c r="B15" s="3">
        <v>55716.82</v>
      </c>
      <c r="C15" s="3">
        <v>10054</v>
      </c>
      <c r="D15" s="3">
        <v>0.14599999999999999</v>
      </c>
      <c r="E15" s="3">
        <v>84.9</v>
      </c>
      <c r="F15" s="3">
        <f>Cleaned_data!O15</f>
        <v>4.3</v>
      </c>
      <c r="G15" s="3">
        <v>24</v>
      </c>
      <c r="H15" s="3">
        <v>0</v>
      </c>
      <c r="I15" s="3">
        <f>Dummy_variables!S15</f>
        <v>0</v>
      </c>
      <c r="J15" s="3">
        <f>Dummy_variables!T15</f>
        <v>0</v>
      </c>
      <c r="K15" s="3">
        <f>Dummy_variables!U15</f>
        <v>1</v>
      </c>
      <c r="M15" t="s">
        <v>150</v>
      </c>
    </row>
    <row r="16" spans="1:18" ht="14.45">
      <c r="A16" s="3">
        <v>746501.09</v>
      </c>
      <c r="B16" s="3">
        <v>59909.51</v>
      </c>
      <c r="C16" s="3">
        <v>8895</v>
      </c>
      <c r="D16" s="3">
        <v>0.22800000000000001</v>
      </c>
      <c r="E16" s="3">
        <v>88.8</v>
      </c>
      <c r="F16" s="3">
        <f>Cleaned_data!O16</f>
        <v>4.3</v>
      </c>
      <c r="G16" s="3">
        <v>23</v>
      </c>
      <c r="H16" s="3">
        <v>0</v>
      </c>
      <c r="I16" s="3">
        <f>Dummy_variables!S16</f>
        <v>0</v>
      </c>
      <c r="J16" s="3">
        <f>Dummy_variables!T16</f>
        <v>0</v>
      </c>
      <c r="K16" s="3">
        <f>Dummy_variables!U16</f>
        <v>1</v>
      </c>
      <c r="M16" s="8"/>
      <c r="N16" s="8" t="s">
        <v>151</v>
      </c>
      <c r="O16" s="8" t="s">
        <v>152</v>
      </c>
      <c r="P16" s="8" t="s">
        <v>153</v>
      </c>
      <c r="Q16" s="8" t="s">
        <v>154</v>
      </c>
      <c r="R16" s="8" t="s">
        <v>155</v>
      </c>
    </row>
    <row r="17" spans="1:21" ht="14.45">
      <c r="A17" s="3">
        <v>834017.02</v>
      </c>
      <c r="B17" s="3">
        <v>75305.710000000006</v>
      </c>
      <c r="C17" s="3">
        <v>10940</v>
      </c>
      <c r="D17" s="3">
        <v>6.0000000000000001E-3</v>
      </c>
      <c r="E17" s="3">
        <v>76.5</v>
      </c>
      <c r="F17" s="3">
        <f>Cleaned_data!O17</f>
        <v>4.5</v>
      </c>
      <c r="G17" s="3">
        <v>26</v>
      </c>
      <c r="H17" s="3">
        <v>0</v>
      </c>
      <c r="I17" s="3">
        <f>Dummy_variables!S17</f>
        <v>0</v>
      </c>
      <c r="J17" s="3">
        <f>Dummy_variables!T17</f>
        <v>0</v>
      </c>
      <c r="K17" s="3">
        <f>Dummy_variables!U17</f>
        <v>1</v>
      </c>
      <c r="M17" t="s">
        <v>156</v>
      </c>
      <c r="N17">
        <v>10</v>
      </c>
      <c r="O17">
        <v>2844773917382.6504</v>
      </c>
      <c r="P17">
        <v>284477391738.26501</v>
      </c>
      <c r="Q17">
        <v>148.88940252216557</v>
      </c>
      <c r="R17">
        <v>8.2337361341260964E-112</v>
      </c>
    </row>
    <row r="18" spans="1:21" ht="14.45">
      <c r="A18" s="3">
        <v>666152.52</v>
      </c>
      <c r="B18" s="3">
        <v>48804.22</v>
      </c>
      <c r="C18" s="3">
        <v>7057</v>
      </c>
      <c r="D18" s="3">
        <v>5.0000000000000001E-3</v>
      </c>
      <c r="E18" s="3">
        <v>87.7</v>
      </c>
      <c r="F18" s="3">
        <f>Cleaned_data!O18</f>
        <v>3.7</v>
      </c>
      <c r="G18" s="3">
        <v>15</v>
      </c>
      <c r="H18" s="3">
        <v>0</v>
      </c>
      <c r="I18" s="3">
        <f>Dummy_variables!S18</f>
        <v>0</v>
      </c>
      <c r="J18" s="3">
        <f>Dummy_variables!T18</f>
        <v>0</v>
      </c>
      <c r="K18" s="3">
        <f>Dummy_variables!U18</f>
        <v>1</v>
      </c>
      <c r="M18" t="s">
        <v>157</v>
      </c>
      <c r="N18">
        <v>309</v>
      </c>
      <c r="O18">
        <v>590394699408.08887</v>
      </c>
      <c r="P18">
        <v>1910662457.6313555</v>
      </c>
    </row>
    <row r="19" spans="1:21" ht="15" thickBot="1">
      <c r="A19" s="3">
        <v>573155.18999999994</v>
      </c>
      <c r="B19" s="3">
        <v>59117.9</v>
      </c>
      <c r="C19" s="3">
        <v>4263</v>
      </c>
      <c r="D19" s="3">
        <v>0.11899999999999999</v>
      </c>
      <c r="E19" s="3">
        <v>87.6</v>
      </c>
      <c r="F19" s="3">
        <f>Cleaned_data!O19</f>
        <v>3.6</v>
      </c>
      <c r="G19" s="3">
        <v>9</v>
      </c>
      <c r="H19" s="3">
        <v>0</v>
      </c>
      <c r="I19" s="3">
        <f>Dummy_variables!S19</f>
        <v>0</v>
      </c>
      <c r="J19" s="3">
        <f>Dummy_variables!T19</f>
        <v>0</v>
      </c>
      <c r="K19" s="3">
        <f>Dummy_variables!U19</f>
        <v>1</v>
      </c>
      <c r="M19" s="7" t="s">
        <v>158</v>
      </c>
      <c r="N19" s="7">
        <v>319</v>
      </c>
      <c r="O19" s="7">
        <v>3435168616790.7393</v>
      </c>
      <c r="P19" s="7"/>
      <c r="Q19" s="7"/>
      <c r="R19" s="7"/>
    </row>
    <row r="20" spans="1:21" ht="15" thickBot="1">
      <c r="A20" s="3">
        <v>666573.19999999995</v>
      </c>
      <c r="B20" s="3">
        <v>78831.12</v>
      </c>
      <c r="C20" s="3">
        <v>5538</v>
      </c>
      <c r="D20" s="3">
        <v>0</v>
      </c>
      <c r="E20" s="3">
        <v>94.1</v>
      </c>
      <c r="F20" s="3">
        <f>Cleaned_data!O20</f>
        <v>3.9</v>
      </c>
      <c r="G20" s="3">
        <v>15</v>
      </c>
      <c r="H20" s="3">
        <v>0</v>
      </c>
      <c r="I20" s="3">
        <f>Dummy_variables!S20</f>
        <v>0</v>
      </c>
      <c r="J20" s="3">
        <f>Dummy_variables!T20</f>
        <v>0</v>
      </c>
      <c r="K20" s="3">
        <f>Dummy_variables!U20</f>
        <v>1</v>
      </c>
    </row>
    <row r="21" spans="1:21" ht="14.45">
      <c r="A21" s="3">
        <v>591619.94999999995</v>
      </c>
      <c r="B21" s="3">
        <v>41441.93</v>
      </c>
      <c r="C21" s="3">
        <v>4865</v>
      </c>
      <c r="D21" s="3">
        <v>0.158</v>
      </c>
      <c r="E21" s="3">
        <v>88.3</v>
      </c>
      <c r="F21" s="3">
        <f>Cleaned_data!O21</f>
        <v>4</v>
      </c>
      <c r="G21" s="3">
        <v>16</v>
      </c>
      <c r="H21" s="3">
        <v>0</v>
      </c>
      <c r="I21" s="3">
        <f>Dummy_variables!S21</f>
        <v>0</v>
      </c>
      <c r="J21" s="3">
        <f>Dummy_variables!T21</f>
        <v>0</v>
      </c>
      <c r="K21" s="3">
        <f>Dummy_variables!U21</f>
        <v>1</v>
      </c>
      <c r="M21" s="8"/>
      <c r="N21" s="8" t="s">
        <v>159</v>
      </c>
      <c r="O21" s="8" t="s">
        <v>148</v>
      </c>
      <c r="P21" s="8" t="s">
        <v>160</v>
      </c>
      <c r="Q21" s="8" t="s">
        <v>7</v>
      </c>
      <c r="R21" s="8" t="s">
        <v>161</v>
      </c>
      <c r="S21" s="8" t="s">
        <v>162</v>
      </c>
      <c r="T21" s="8" t="s">
        <v>163</v>
      </c>
      <c r="U21" s="8" t="s">
        <v>164</v>
      </c>
    </row>
    <row r="22" spans="1:21" ht="14.45">
      <c r="A22" s="3">
        <v>415721.82</v>
      </c>
      <c r="B22" s="3">
        <v>30356.28</v>
      </c>
      <c r="C22" s="3">
        <v>2822</v>
      </c>
      <c r="D22" s="3">
        <v>0.23100000000000001</v>
      </c>
      <c r="E22" s="3">
        <v>84.8</v>
      </c>
      <c r="F22" s="3">
        <f>Cleaned_data!O22</f>
        <v>5</v>
      </c>
      <c r="G22" s="3">
        <v>9</v>
      </c>
      <c r="H22" s="3">
        <v>0</v>
      </c>
      <c r="I22" s="3">
        <f>Dummy_variables!S22</f>
        <v>0</v>
      </c>
      <c r="J22" s="3">
        <f>Dummy_variables!T22</f>
        <v>0</v>
      </c>
      <c r="K22" s="3">
        <f>Dummy_variables!U22</f>
        <v>1</v>
      </c>
      <c r="M22" t="s">
        <v>165</v>
      </c>
      <c r="N22">
        <v>69706.910989799144</v>
      </c>
      <c r="O22">
        <v>48461.984055931847</v>
      </c>
      <c r="P22">
        <v>1.4383833503256429</v>
      </c>
      <c r="Q22">
        <v>0.15133735816404334</v>
      </c>
      <c r="R22">
        <v>-25650.324083645333</v>
      </c>
      <c r="S22">
        <v>165064.14606324362</v>
      </c>
      <c r="T22">
        <v>-25650.324083645333</v>
      </c>
      <c r="U22">
        <v>165064.14606324362</v>
      </c>
    </row>
    <row r="23" spans="1:21" ht="14.45">
      <c r="A23" s="3">
        <v>491905.13</v>
      </c>
      <c r="B23" s="3">
        <v>33518.879999999997</v>
      </c>
      <c r="C23" s="3">
        <v>2121</v>
      </c>
      <c r="D23" s="3">
        <v>0.17599999999999999</v>
      </c>
      <c r="E23" s="3">
        <v>88.5</v>
      </c>
      <c r="F23" s="3">
        <f>Cleaned_data!O23</f>
        <v>5</v>
      </c>
      <c r="G23" s="3">
        <v>8</v>
      </c>
      <c r="H23" s="3">
        <v>0</v>
      </c>
      <c r="I23" s="3">
        <f>Dummy_variables!S23</f>
        <v>0</v>
      </c>
      <c r="J23" s="3">
        <f>Dummy_variables!T23</f>
        <v>0</v>
      </c>
      <c r="K23" s="3">
        <f>Dummy_variables!U23</f>
        <v>1</v>
      </c>
      <c r="M23" t="s">
        <v>19</v>
      </c>
      <c r="N23">
        <v>1.1609255112964663</v>
      </c>
      <c r="O23">
        <v>0.12728740690550427</v>
      </c>
      <c r="P23">
        <v>9.1205056298956197</v>
      </c>
      <c r="Q23">
        <v>9.8346245202520374E-18</v>
      </c>
      <c r="R23">
        <v>0.91046578665604139</v>
      </c>
      <c r="S23">
        <v>1.411385235936891</v>
      </c>
      <c r="T23">
        <v>0.91046578665604139</v>
      </c>
      <c r="U23">
        <v>1.411385235936891</v>
      </c>
    </row>
    <row r="24" spans="1:21" ht="14.45">
      <c r="A24" s="3">
        <v>555929.4</v>
      </c>
      <c r="B24" s="3">
        <v>42267.37</v>
      </c>
      <c r="C24" s="3">
        <v>3364</v>
      </c>
      <c r="D24" s="3">
        <v>0.16</v>
      </c>
      <c r="E24" s="3">
        <v>82</v>
      </c>
      <c r="F24" s="3">
        <f>Cleaned_data!O24</f>
        <v>4.5999999999999996</v>
      </c>
      <c r="G24" s="3">
        <v>13</v>
      </c>
      <c r="H24" s="3">
        <v>1</v>
      </c>
      <c r="I24" s="3">
        <f>Dummy_variables!S24</f>
        <v>0</v>
      </c>
      <c r="J24" s="3">
        <f>Dummy_variables!T24</f>
        <v>0</v>
      </c>
      <c r="K24" s="3">
        <f>Dummy_variables!U24</f>
        <v>1</v>
      </c>
      <c r="M24" t="s">
        <v>14</v>
      </c>
      <c r="N24">
        <v>27.904949940267098</v>
      </c>
      <c r="O24">
        <v>2.5073248600479632</v>
      </c>
      <c r="P24">
        <v>11.129371540524389</v>
      </c>
      <c r="Q24">
        <v>2.0293132639279734E-24</v>
      </c>
      <c r="R24">
        <v>22.971359813021376</v>
      </c>
      <c r="S24">
        <v>32.838540067512817</v>
      </c>
      <c r="T24">
        <v>22.971359813021376</v>
      </c>
      <c r="U24">
        <v>32.838540067512817</v>
      </c>
    </row>
    <row r="25" spans="1:21" ht="14.45">
      <c r="A25" s="3">
        <v>565810.99</v>
      </c>
      <c r="B25" s="3">
        <v>62060.43</v>
      </c>
      <c r="C25" s="3">
        <v>2613</v>
      </c>
      <c r="D25" s="3">
        <v>0.216</v>
      </c>
      <c r="E25" s="3">
        <v>92.1</v>
      </c>
      <c r="F25" s="3">
        <f>Cleaned_data!O25</f>
        <v>4.7</v>
      </c>
      <c r="G25" s="3">
        <v>12</v>
      </c>
      <c r="H25" s="3">
        <v>0</v>
      </c>
      <c r="I25" s="3">
        <f>Dummy_variables!S25</f>
        <v>0</v>
      </c>
      <c r="J25" s="3">
        <f>Dummy_variables!T25</f>
        <v>0</v>
      </c>
      <c r="K25" s="3">
        <f>Dummy_variables!U25</f>
        <v>1</v>
      </c>
      <c r="M25" t="s">
        <v>23</v>
      </c>
      <c r="N25">
        <v>-73572.77908022466</v>
      </c>
      <c r="O25">
        <v>36215.794677491176</v>
      </c>
      <c r="P25">
        <v>-2.0315108293330253</v>
      </c>
      <c r="Q25">
        <v>4.3058663160775758E-2</v>
      </c>
      <c r="R25">
        <v>-144833.54385715537</v>
      </c>
      <c r="S25">
        <v>-2312.0143032939523</v>
      </c>
      <c r="T25">
        <v>-144833.54385715537</v>
      </c>
      <c r="U25">
        <v>-2312.0143032939523</v>
      </c>
    </row>
    <row r="26" spans="1:21" ht="14.45">
      <c r="A26" s="3">
        <v>811771.14</v>
      </c>
      <c r="B26" s="3">
        <v>57696.69</v>
      </c>
      <c r="C26" s="3">
        <v>10218</v>
      </c>
      <c r="D26" s="3">
        <v>0.121</v>
      </c>
      <c r="E26" s="3">
        <v>94.8</v>
      </c>
      <c r="F26" s="3">
        <f>Cleaned_data!O26</f>
        <v>3.5</v>
      </c>
      <c r="G26" s="3">
        <v>25</v>
      </c>
      <c r="H26" s="3">
        <v>0</v>
      </c>
      <c r="I26" s="3">
        <f>Dummy_variables!S26</f>
        <v>0</v>
      </c>
      <c r="J26" s="3">
        <f>Dummy_variables!T26</f>
        <v>1</v>
      </c>
      <c r="K26" s="3">
        <f>Dummy_variables!U26</f>
        <v>0</v>
      </c>
      <c r="M26" t="s">
        <v>39</v>
      </c>
      <c r="N26">
        <v>3129.9219580538261</v>
      </c>
      <c r="O26">
        <v>461.60043425535844</v>
      </c>
      <c r="P26">
        <v>6.7805871177372978</v>
      </c>
      <c r="Q26">
        <v>6.0853581572287551E-11</v>
      </c>
      <c r="R26">
        <v>2221.6442229018639</v>
      </c>
      <c r="S26">
        <v>4038.1996932057882</v>
      </c>
      <c r="T26">
        <v>2221.6442229018639</v>
      </c>
      <c r="U26">
        <v>4038.1996932057882</v>
      </c>
    </row>
    <row r="27" spans="1:21" ht="14.45">
      <c r="A27" s="3">
        <v>800451.94</v>
      </c>
      <c r="B27" s="3">
        <v>172415.52</v>
      </c>
      <c r="C27" s="3">
        <v>8927</v>
      </c>
      <c r="D27" s="3">
        <v>0.14000000000000001</v>
      </c>
      <c r="E27" s="3">
        <v>86.2</v>
      </c>
      <c r="F27" s="3">
        <f>Cleaned_data!O27</f>
        <v>3.9</v>
      </c>
      <c r="G27" s="3">
        <v>22</v>
      </c>
      <c r="H27" s="3">
        <v>0</v>
      </c>
      <c r="I27" s="3">
        <f>Dummy_variables!S27</f>
        <v>0</v>
      </c>
      <c r="J27" s="3">
        <f>Dummy_variables!T27</f>
        <v>1</v>
      </c>
      <c r="K27" s="3">
        <f>Dummy_variables!U27</f>
        <v>0</v>
      </c>
      <c r="M27" t="s">
        <v>45</v>
      </c>
      <c r="N27">
        <v>12616.696875448131</v>
      </c>
      <c r="O27">
        <v>4797.760101851577</v>
      </c>
      <c r="P27">
        <v>2.6297056558911791</v>
      </c>
      <c r="Q27">
        <v>8.9736270195921123E-3</v>
      </c>
      <c r="R27">
        <v>3176.2840081120758</v>
      </c>
      <c r="S27">
        <v>22057.109742784189</v>
      </c>
      <c r="T27">
        <v>3176.2840081120758</v>
      </c>
      <c r="U27">
        <v>22057.109742784189</v>
      </c>
    </row>
    <row r="28" spans="1:21" ht="14.45">
      <c r="A28" s="3">
        <v>783672.82</v>
      </c>
      <c r="B28" s="3">
        <v>55270.52</v>
      </c>
      <c r="C28" s="3">
        <v>9315</v>
      </c>
      <c r="D28" s="3">
        <v>0.16900000000000001</v>
      </c>
      <c r="E28" s="3">
        <v>91.9</v>
      </c>
      <c r="F28" s="3">
        <f>Cleaned_data!O28</f>
        <v>4</v>
      </c>
      <c r="G28" s="3">
        <v>23</v>
      </c>
      <c r="H28" s="3">
        <v>0</v>
      </c>
      <c r="I28" s="3">
        <f>Dummy_variables!S28</f>
        <v>0</v>
      </c>
      <c r="J28" s="3">
        <f>Dummy_variables!T28</f>
        <v>1</v>
      </c>
      <c r="K28" s="3">
        <f>Dummy_variables!U28</f>
        <v>0</v>
      </c>
      <c r="M28" t="s">
        <v>38</v>
      </c>
      <c r="N28">
        <v>3184.963490235335</v>
      </c>
      <c r="O28">
        <v>1262.7516550435521</v>
      </c>
      <c r="P28">
        <v>2.5222405985486405</v>
      </c>
      <c r="Q28">
        <v>1.2163144688665993E-2</v>
      </c>
      <c r="R28">
        <v>700.28382317101614</v>
      </c>
      <c r="S28">
        <v>5669.6431572996535</v>
      </c>
      <c r="T28">
        <v>700.28382317101614</v>
      </c>
      <c r="U28">
        <v>5669.6431572996535</v>
      </c>
    </row>
    <row r="29" spans="1:21" ht="14.45">
      <c r="A29" s="3">
        <v>701641.97</v>
      </c>
      <c r="B29" s="3">
        <v>52715.1</v>
      </c>
      <c r="C29" s="3">
        <v>7223</v>
      </c>
      <c r="D29" s="3">
        <v>0.122</v>
      </c>
      <c r="E29" s="3">
        <v>84.2</v>
      </c>
      <c r="F29" s="3">
        <f>Cleaned_data!O29</f>
        <v>3.7</v>
      </c>
      <c r="G29" s="3">
        <v>16</v>
      </c>
      <c r="H29" s="3">
        <v>0</v>
      </c>
      <c r="I29" s="3">
        <f>Dummy_variables!S29</f>
        <v>0</v>
      </c>
      <c r="J29" s="3">
        <f>Dummy_variables!T29</f>
        <v>1</v>
      </c>
      <c r="K29" s="3">
        <f>Dummy_variables!U29</f>
        <v>0</v>
      </c>
      <c r="M29" t="s">
        <v>43</v>
      </c>
      <c r="N29">
        <v>13822.072009809561</v>
      </c>
      <c r="O29">
        <v>6642.1761459058371</v>
      </c>
      <c r="P29">
        <v>2.0809553535145753</v>
      </c>
      <c r="Q29">
        <v>3.8261306968793957E-2</v>
      </c>
      <c r="R29">
        <v>752.45539210442257</v>
      </c>
      <c r="S29">
        <v>26891.688627514697</v>
      </c>
      <c r="T29">
        <v>752.45539210442257</v>
      </c>
      <c r="U29">
        <v>26891.688627514697</v>
      </c>
    </row>
    <row r="30" spans="1:21" ht="14.45">
      <c r="A30" s="3">
        <v>511844.41</v>
      </c>
      <c r="B30" s="3">
        <v>68600.62</v>
      </c>
      <c r="C30" s="3">
        <v>3988</v>
      </c>
      <c r="D30" s="3">
        <v>0.124</v>
      </c>
      <c r="E30" s="3">
        <v>85</v>
      </c>
      <c r="F30" s="3">
        <f>Cleaned_data!O30</f>
        <v>3.6</v>
      </c>
      <c r="G30" s="3">
        <v>11</v>
      </c>
      <c r="H30" s="3">
        <v>0</v>
      </c>
      <c r="I30" s="3">
        <f>Dummy_variables!S30</f>
        <v>0</v>
      </c>
      <c r="J30" s="3">
        <f>Dummy_variables!T30</f>
        <v>0</v>
      </c>
      <c r="K30" s="3">
        <f>Dummy_variables!U30</f>
        <v>1</v>
      </c>
      <c r="M30" t="s">
        <v>136</v>
      </c>
      <c r="N30">
        <v>-4555.9351341610327</v>
      </c>
      <c r="O30">
        <v>6467.3403732402867</v>
      </c>
      <c r="P30">
        <v>-0.70445266078958579</v>
      </c>
      <c r="Q30">
        <v>0.48168150032499224</v>
      </c>
      <c r="R30">
        <v>-17281.532492273443</v>
      </c>
      <c r="S30">
        <v>8169.6622239513799</v>
      </c>
      <c r="T30">
        <v>-17281.532492273443</v>
      </c>
      <c r="U30">
        <v>8169.6622239513799</v>
      </c>
    </row>
    <row r="31" spans="1:21" ht="14.45">
      <c r="A31" s="3">
        <v>537383.79</v>
      </c>
      <c r="B31" s="3">
        <v>63176.73</v>
      </c>
      <c r="C31" s="3">
        <v>2390</v>
      </c>
      <c r="D31" s="3">
        <v>0.216</v>
      </c>
      <c r="E31" s="3">
        <v>87.5</v>
      </c>
      <c r="F31" s="3">
        <f>Cleaned_data!O31</f>
        <v>3.1</v>
      </c>
      <c r="G31" s="3">
        <v>9</v>
      </c>
      <c r="H31" s="3">
        <v>0</v>
      </c>
      <c r="I31" s="3">
        <f>Dummy_variables!S31</f>
        <v>0</v>
      </c>
      <c r="J31" s="3">
        <f>Dummy_variables!T31</f>
        <v>0</v>
      </c>
      <c r="K31" s="3">
        <f>Dummy_variables!U31</f>
        <v>1</v>
      </c>
      <c r="M31" t="s">
        <v>137</v>
      </c>
      <c r="N31">
        <v>2922.4139625566363</v>
      </c>
      <c r="O31">
        <v>7277.0115461066371</v>
      </c>
      <c r="P31">
        <v>0.40159534501772126</v>
      </c>
      <c r="Q31">
        <v>0.68825945937120558</v>
      </c>
      <c r="R31">
        <v>-11396.34978911695</v>
      </c>
      <c r="S31">
        <v>17241.177714230224</v>
      </c>
      <c r="T31">
        <v>-11396.34978911695</v>
      </c>
      <c r="U31">
        <v>17241.177714230224</v>
      </c>
    </row>
    <row r="32" spans="1:21" ht="15" thickBot="1">
      <c r="A32" s="3">
        <v>500173.02</v>
      </c>
      <c r="B32" s="3">
        <v>44970.080000000002</v>
      </c>
      <c r="C32" s="3">
        <v>2471</v>
      </c>
      <c r="D32" s="3">
        <v>0.13600000000000001</v>
      </c>
      <c r="E32" s="3">
        <v>87.6</v>
      </c>
      <c r="F32" s="3">
        <f>Cleaned_data!O32</f>
        <v>3.7</v>
      </c>
      <c r="G32" s="3">
        <v>11</v>
      </c>
      <c r="H32" s="3">
        <v>1</v>
      </c>
      <c r="I32" s="3">
        <f>Dummy_variables!S32</f>
        <v>0</v>
      </c>
      <c r="J32" s="3">
        <f>Dummy_variables!T32</f>
        <v>0</v>
      </c>
      <c r="K32" s="3">
        <f>Dummy_variables!U32</f>
        <v>1</v>
      </c>
      <c r="M32" s="7" t="s">
        <v>138</v>
      </c>
      <c r="N32" s="7">
        <v>-26500.27251631441</v>
      </c>
      <c r="O32" s="7">
        <v>6943.0994109039066</v>
      </c>
      <c r="P32" s="7">
        <v>-3.8167784944424983</v>
      </c>
      <c r="Q32" s="7">
        <v>1.6333454196700874E-4</v>
      </c>
      <c r="R32" s="7">
        <v>-40162.007081282522</v>
      </c>
      <c r="S32" s="7">
        <v>-12838.537951346298</v>
      </c>
      <c r="T32" s="7">
        <v>-40162.007081282522</v>
      </c>
      <c r="U32" s="7">
        <v>-12838.537951346298</v>
      </c>
    </row>
    <row r="33" spans="1:15" ht="14.45">
      <c r="A33" s="3">
        <v>427917.38</v>
      </c>
      <c r="B33" s="3">
        <v>69816.350000000006</v>
      </c>
      <c r="C33" s="3">
        <v>971</v>
      </c>
      <c r="D33" s="3">
        <v>0.16800000000000001</v>
      </c>
      <c r="E33" s="3">
        <v>89.9</v>
      </c>
      <c r="F33" s="3">
        <f>Cleaned_data!O33</f>
        <v>3.6</v>
      </c>
      <c r="G33" s="3">
        <v>5</v>
      </c>
      <c r="H33" s="3">
        <v>0</v>
      </c>
      <c r="I33" s="3">
        <f>Dummy_variables!S33</f>
        <v>0</v>
      </c>
      <c r="J33" s="3">
        <f>Dummy_variables!T33</f>
        <v>0</v>
      </c>
      <c r="K33" s="3">
        <f>Dummy_variables!U33</f>
        <v>1</v>
      </c>
    </row>
    <row r="34" spans="1:15" ht="14.45">
      <c r="A34" s="3">
        <v>641865.03</v>
      </c>
      <c r="B34" s="3">
        <v>54597.83</v>
      </c>
      <c r="C34" s="3">
        <v>9429</v>
      </c>
      <c r="D34" s="3">
        <v>0.188</v>
      </c>
      <c r="E34" s="3">
        <v>83.3</v>
      </c>
      <c r="F34" s="3">
        <f>Cleaned_data!O34</f>
        <v>4.2</v>
      </c>
      <c r="G34" s="3">
        <v>21</v>
      </c>
      <c r="H34" s="3">
        <v>0</v>
      </c>
      <c r="I34" s="3">
        <f>Dummy_variables!S34</f>
        <v>0</v>
      </c>
      <c r="J34" s="3">
        <f>Dummy_variables!T34</f>
        <v>0</v>
      </c>
      <c r="K34" s="3">
        <f>Dummy_variables!U34</f>
        <v>1</v>
      </c>
    </row>
    <row r="35" spans="1:15" ht="14.45">
      <c r="A35" s="3">
        <v>799477.76000000001</v>
      </c>
      <c r="B35" s="3">
        <v>73771.91</v>
      </c>
      <c r="C35" s="3">
        <v>11695</v>
      </c>
      <c r="D35" s="3">
        <v>7.0000000000000007E-2</v>
      </c>
      <c r="E35" s="3">
        <v>84.7</v>
      </c>
      <c r="F35" s="3">
        <f>Cleaned_data!O35</f>
        <v>3.9</v>
      </c>
      <c r="G35" s="3">
        <v>25</v>
      </c>
      <c r="H35" s="3">
        <v>0</v>
      </c>
      <c r="I35" s="3">
        <f>Dummy_variables!S35</f>
        <v>0</v>
      </c>
      <c r="J35" s="3">
        <f>Dummy_variables!T35</f>
        <v>0</v>
      </c>
      <c r="K35" s="3">
        <f>Dummy_variables!U35</f>
        <v>1</v>
      </c>
    </row>
    <row r="36" spans="1:15" ht="14.45">
      <c r="A36" s="3">
        <v>798952.17</v>
      </c>
      <c r="B36" s="3">
        <v>74413.88</v>
      </c>
      <c r="C36" s="3">
        <v>9449</v>
      </c>
      <c r="D36" s="3">
        <v>3.9E-2</v>
      </c>
      <c r="E36" s="3">
        <v>92.1</v>
      </c>
      <c r="F36" s="3">
        <f>Cleaned_data!O36</f>
        <v>3.5</v>
      </c>
      <c r="G36" s="3">
        <v>23</v>
      </c>
      <c r="H36" s="3">
        <v>0</v>
      </c>
      <c r="I36" s="3">
        <f>Dummy_variables!S36</f>
        <v>0</v>
      </c>
      <c r="J36" s="3">
        <f>Dummy_variables!T36</f>
        <v>0</v>
      </c>
      <c r="K36" s="3">
        <f>Dummy_variables!U36</f>
        <v>1</v>
      </c>
      <c r="M36" t="s">
        <v>166</v>
      </c>
    </row>
    <row r="37" spans="1:15" ht="15" thickBot="1">
      <c r="A37" s="3">
        <v>800979.78</v>
      </c>
      <c r="B37" s="3">
        <v>52483.77</v>
      </c>
      <c r="C37" s="3">
        <v>10453</v>
      </c>
      <c r="D37" s="3">
        <v>0.247</v>
      </c>
      <c r="E37" s="3">
        <v>99</v>
      </c>
      <c r="F37" s="3">
        <f>Cleaned_data!O37</f>
        <v>3.6</v>
      </c>
      <c r="G37" s="3">
        <v>25</v>
      </c>
      <c r="H37" s="3">
        <v>0</v>
      </c>
      <c r="I37" s="3">
        <f>Dummy_variables!S37</f>
        <v>0</v>
      </c>
      <c r="J37" s="3">
        <f>Dummy_variables!T37</f>
        <v>0</v>
      </c>
      <c r="K37" s="3">
        <f>Dummy_variables!U37</f>
        <v>1</v>
      </c>
    </row>
    <row r="38" spans="1:15" ht="14.45">
      <c r="A38" s="3">
        <v>820593.93</v>
      </c>
      <c r="B38" s="3">
        <v>75269.87</v>
      </c>
      <c r="C38" s="3">
        <v>8838</v>
      </c>
      <c r="D38" s="3">
        <v>9.1999999999999998E-2</v>
      </c>
      <c r="E38" s="3">
        <v>83.1</v>
      </c>
      <c r="F38" s="3">
        <f>Cleaned_data!O38</f>
        <v>4.2</v>
      </c>
      <c r="G38" s="3">
        <v>21</v>
      </c>
      <c r="H38" s="3">
        <v>1</v>
      </c>
      <c r="I38" s="3">
        <f>Dummy_variables!S38</f>
        <v>0</v>
      </c>
      <c r="J38" s="3">
        <f>Dummy_variables!T38</f>
        <v>1</v>
      </c>
      <c r="K38" s="3">
        <f>Dummy_variables!U38</f>
        <v>0</v>
      </c>
      <c r="M38" s="8" t="s">
        <v>167</v>
      </c>
      <c r="N38" s="8" t="s">
        <v>168</v>
      </c>
      <c r="O38" s="8" t="s">
        <v>169</v>
      </c>
    </row>
    <row r="39" spans="1:15" ht="14.45">
      <c r="A39" s="3">
        <v>718330.53</v>
      </c>
      <c r="B39" s="3">
        <v>61245.41</v>
      </c>
      <c r="C39" s="3">
        <v>8156</v>
      </c>
      <c r="D39" s="3">
        <v>0.156</v>
      </c>
      <c r="E39" s="3">
        <v>92.9</v>
      </c>
      <c r="F39" s="3">
        <f>Cleaned_data!O39</f>
        <v>3.8</v>
      </c>
      <c r="G39" s="3">
        <v>19</v>
      </c>
      <c r="H39" s="3">
        <v>0</v>
      </c>
      <c r="I39" s="3">
        <f>Dummy_variables!S39</f>
        <v>0</v>
      </c>
      <c r="J39" s="3">
        <f>Dummy_variables!T39</f>
        <v>1</v>
      </c>
      <c r="K39" s="3">
        <f>Dummy_variables!U39</f>
        <v>0</v>
      </c>
      <c r="M39">
        <v>1</v>
      </c>
      <c r="N39">
        <v>695322.34818440233</v>
      </c>
      <c r="O39">
        <v>-36489.728184402338</v>
      </c>
    </row>
    <row r="40" spans="1:15" ht="14.45">
      <c r="A40" s="3">
        <v>736633.4</v>
      </c>
      <c r="B40" s="3">
        <v>93381.26</v>
      </c>
      <c r="C40" s="3">
        <v>7562</v>
      </c>
      <c r="D40" s="3">
        <v>0.19800000000000001</v>
      </c>
      <c r="E40" s="3">
        <v>82.9</v>
      </c>
      <c r="F40" s="3">
        <f>Cleaned_data!O40</f>
        <v>4</v>
      </c>
      <c r="G40" s="3">
        <v>19</v>
      </c>
      <c r="H40" s="3">
        <v>0</v>
      </c>
      <c r="I40" s="3">
        <f>Dummy_variables!S40</f>
        <v>0</v>
      </c>
      <c r="J40" s="3">
        <f>Dummy_variables!T40</f>
        <v>1</v>
      </c>
      <c r="K40" s="3">
        <f>Dummy_variables!U40</f>
        <v>0</v>
      </c>
      <c r="M40">
        <v>2</v>
      </c>
      <c r="N40">
        <v>691302.96212475968</v>
      </c>
      <c r="O40">
        <v>-56866.962124759681</v>
      </c>
    </row>
    <row r="41" spans="1:15" ht="14.45">
      <c r="A41" s="3">
        <v>828623.85</v>
      </c>
      <c r="B41" s="3">
        <v>65012.19</v>
      </c>
      <c r="C41" s="3">
        <v>9598</v>
      </c>
      <c r="D41" s="3">
        <v>8.5000000000000006E-2</v>
      </c>
      <c r="E41" s="3">
        <v>98.3</v>
      </c>
      <c r="F41" s="3">
        <f>Cleaned_data!O41</f>
        <v>3.8</v>
      </c>
      <c r="G41" s="3">
        <v>24</v>
      </c>
      <c r="H41" s="3">
        <v>0</v>
      </c>
      <c r="I41" s="3">
        <f>Dummy_variables!S41</f>
        <v>0</v>
      </c>
      <c r="J41" s="3">
        <f>Dummy_variables!T41</f>
        <v>1</v>
      </c>
      <c r="K41" s="3">
        <f>Dummy_variables!U41</f>
        <v>0</v>
      </c>
      <c r="M41">
        <v>3</v>
      </c>
      <c r="N41">
        <v>736789.7880328754</v>
      </c>
      <c r="O41">
        <v>-58067.72803287534</v>
      </c>
    </row>
    <row r="42" spans="1:15" ht="14.45">
      <c r="A42" s="3">
        <v>592195.85</v>
      </c>
      <c r="B42" s="3">
        <v>40462.94</v>
      </c>
      <c r="C42" s="3">
        <v>3660</v>
      </c>
      <c r="D42" s="3">
        <v>0.218</v>
      </c>
      <c r="E42" s="3">
        <v>95.2</v>
      </c>
      <c r="F42" s="3">
        <f>Cleaned_data!O42</f>
        <v>4.4000000000000004</v>
      </c>
      <c r="G42" s="3">
        <v>11</v>
      </c>
      <c r="H42" s="3">
        <v>0</v>
      </c>
      <c r="I42" s="3">
        <f>Dummy_variables!S42</f>
        <v>0</v>
      </c>
      <c r="J42" s="3">
        <f>Dummy_variables!T42</f>
        <v>1</v>
      </c>
      <c r="K42" s="3">
        <f>Dummy_variables!U42</f>
        <v>0</v>
      </c>
      <c r="M42">
        <v>4</v>
      </c>
      <c r="N42">
        <v>750078.34679090965</v>
      </c>
      <c r="O42">
        <v>-91158.046790909604</v>
      </c>
    </row>
    <row r="43" spans="1:15" ht="14.45">
      <c r="A43" s="3">
        <v>532644.46</v>
      </c>
      <c r="B43" s="3">
        <v>46123.88</v>
      </c>
      <c r="C43" s="3">
        <v>3227</v>
      </c>
      <c r="D43" s="3">
        <v>0.14299999999999999</v>
      </c>
      <c r="E43" s="3">
        <v>75.400000000000006</v>
      </c>
      <c r="F43" s="3">
        <f>Cleaned_data!O43</f>
        <v>4.4000000000000004</v>
      </c>
      <c r="G43" s="3">
        <v>10</v>
      </c>
      <c r="H43" s="3">
        <v>0</v>
      </c>
      <c r="I43" s="3">
        <f>Dummy_variables!S43</f>
        <v>0</v>
      </c>
      <c r="J43" s="3">
        <f>Dummy_variables!T43</f>
        <v>1</v>
      </c>
      <c r="K43" s="3">
        <f>Dummy_variables!U43</f>
        <v>0</v>
      </c>
      <c r="M43">
        <v>5</v>
      </c>
      <c r="N43">
        <v>814444.63033501571</v>
      </c>
      <c r="O43">
        <v>-73103.190335015766</v>
      </c>
    </row>
    <row r="44" spans="1:15" ht="14.45">
      <c r="A44" s="3">
        <v>657429.18000000005</v>
      </c>
      <c r="B44" s="3">
        <v>68077.539999999994</v>
      </c>
      <c r="C44" s="3">
        <v>3360</v>
      </c>
      <c r="D44" s="3">
        <v>0.128</v>
      </c>
      <c r="E44" s="3">
        <v>88.2</v>
      </c>
      <c r="F44" s="3">
        <f>Cleaned_data!O44</f>
        <v>4</v>
      </c>
      <c r="G44" s="3">
        <v>14</v>
      </c>
      <c r="H44" s="3">
        <v>1</v>
      </c>
      <c r="I44" s="3">
        <f>Dummy_variables!S44</f>
        <v>0</v>
      </c>
      <c r="J44" s="3">
        <f>Dummy_variables!T44</f>
        <v>1</v>
      </c>
      <c r="K44" s="3">
        <f>Dummy_variables!U44</f>
        <v>0</v>
      </c>
      <c r="M44">
        <v>6</v>
      </c>
      <c r="N44">
        <v>785625.90707046201</v>
      </c>
      <c r="O44">
        <v>-23790.567070462042</v>
      </c>
    </row>
    <row r="45" spans="1:15" ht="14.45">
      <c r="A45" s="3">
        <v>605178</v>
      </c>
      <c r="B45" s="3">
        <v>64882.14</v>
      </c>
      <c r="C45" s="3">
        <v>3642</v>
      </c>
      <c r="D45" s="3">
        <v>1.9E-2</v>
      </c>
      <c r="E45" s="3">
        <v>87.8</v>
      </c>
      <c r="F45" s="3">
        <f>Cleaned_data!O45</f>
        <v>4.2</v>
      </c>
      <c r="G45" s="3">
        <v>13</v>
      </c>
      <c r="H45" s="3">
        <v>0</v>
      </c>
      <c r="I45" s="3">
        <f>Dummy_variables!S45</f>
        <v>0</v>
      </c>
      <c r="J45" s="3">
        <f>Dummy_variables!T45</f>
        <v>1</v>
      </c>
      <c r="K45" s="3">
        <f>Dummy_variables!U45</f>
        <v>0</v>
      </c>
      <c r="M45">
        <v>7</v>
      </c>
      <c r="N45">
        <v>808353.49525426014</v>
      </c>
      <c r="O45">
        <v>-1737.9552542601014</v>
      </c>
    </row>
    <row r="46" spans="1:15" ht="14.45">
      <c r="A46" s="3">
        <v>595467.6</v>
      </c>
      <c r="B46" s="3">
        <v>138855.51</v>
      </c>
      <c r="C46" s="3">
        <v>5145</v>
      </c>
      <c r="D46" s="3">
        <v>0.06</v>
      </c>
      <c r="E46" s="3">
        <v>88.2</v>
      </c>
      <c r="F46" s="3">
        <f>Cleaned_data!O46</f>
        <v>3.2</v>
      </c>
      <c r="G46" s="3">
        <v>17</v>
      </c>
      <c r="H46" s="3">
        <v>0</v>
      </c>
      <c r="I46" s="3">
        <f>Dummy_variables!S46</f>
        <v>0</v>
      </c>
      <c r="J46" s="3">
        <f>Dummy_variables!T46</f>
        <v>0</v>
      </c>
      <c r="K46" s="3">
        <f>Dummy_variables!U46</f>
        <v>1</v>
      </c>
      <c r="M46">
        <v>8</v>
      </c>
      <c r="N46">
        <v>795664.11175542139</v>
      </c>
      <c r="O46">
        <v>54500.148244578624</v>
      </c>
    </row>
    <row r="47" spans="1:15" ht="14.45">
      <c r="A47" s="3">
        <v>599603.4</v>
      </c>
      <c r="B47" s="3">
        <v>63630.21</v>
      </c>
      <c r="C47" s="3">
        <v>4460</v>
      </c>
      <c r="D47" s="3">
        <v>0.23499999999999999</v>
      </c>
      <c r="E47" s="3">
        <v>98.6</v>
      </c>
      <c r="F47" s="3">
        <f>Cleaned_data!O47</f>
        <v>3.5</v>
      </c>
      <c r="G47" s="3">
        <v>14</v>
      </c>
      <c r="H47" s="3">
        <v>0</v>
      </c>
      <c r="I47" s="3">
        <f>Dummy_variables!S47</f>
        <v>0</v>
      </c>
      <c r="J47" s="3">
        <f>Dummy_variables!T47</f>
        <v>0</v>
      </c>
      <c r="K47" s="3">
        <f>Dummy_variables!U47</f>
        <v>1</v>
      </c>
      <c r="M47">
        <v>9</v>
      </c>
      <c r="N47">
        <v>860986.49539023777</v>
      </c>
      <c r="O47">
        <v>69595.204609762179</v>
      </c>
    </row>
    <row r="48" spans="1:15" ht="14.45">
      <c r="A48" s="3">
        <v>614800.09</v>
      </c>
      <c r="B48" s="3">
        <v>50043.65</v>
      </c>
      <c r="C48" s="3">
        <v>3804</v>
      </c>
      <c r="D48" s="3">
        <v>0.113</v>
      </c>
      <c r="E48" s="3">
        <v>90.9</v>
      </c>
      <c r="F48" s="3">
        <f>Cleaned_data!O48</f>
        <v>3.2</v>
      </c>
      <c r="G48" s="3">
        <v>11</v>
      </c>
      <c r="H48" s="3">
        <v>1</v>
      </c>
      <c r="I48" s="3">
        <f>Dummy_variables!S48</f>
        <v>0</v>
      </c>
      <c r="J48" s="3">
        <f>Dummy_variables!T48</f>
        <v>0</v>
      </c>
      <c r="K48" s="3">
        <f>Dummy_variables!U48</f>
        <v>1</v>
      </c>
      <c r="M48">
        <v>10</v>
      </c>
      <c r="N48">
        <v>782489.39635192277</v>
      </c>
      <c r="O48">
        <v>-3478.456351922825</v>
      </c>
    </row>
    <row r="49" spans="1:15" ht="14.45">
      <c r="A49" s="3">
        <v>585365.73</v>
      </c>
      <c r="B49" s="3">
        <v>42093.84</v>
      </c>
      <c r="C49" s="3">
        <v>4074</v>
      </c>
      <c r="D49" s="3">
        <v>0.155</v>
      </c>
      <c r="E49" s="3">
        <v>88</v>
      </c>
      <c r="F49" s="3">
        <f>Cleaned_data!O49</f>
        <v>3.3</v>
      </c>
      <c r="G49" s="3">
        <v>15</v>
      </c>
      <c r="H49" s="3">
        <v>0</v>
      </c>
      <c r="I49" s="3">
        <f>Dummy_variables!S49</f>
        <v>0</v>
      </c>
      <c r="J49" s="3">
        <f>Dummy_variables!T49</f>
        <v>0</v>
      </c>
      <c r="K49" s="3">
        <f>Dummy_variables!U49</f>
        <v>1</v>
      </c>
      <c r="M49">
        <v>11</v>
      </c>
      <c r="N49">
        <v>757989.51066484035</v>
      </c>
      <c r="O49">
        <v>-34928.750664840336</v>
      </c>
    </row>
    <row r="50" spans="1:15" ht="14.45">
      <c r="A50" s="3">
        <v>622811.74</v>
      </c>
      <c r="B50" s="3">
        <v>46624.05</v>
      </c>
      <c r="C50" s="3">
        <v>5104</v>
      </c>
      <c r="D50" s="3">
        <v>0.109</v>
      </c>
      <c r="E50" s="3">
        <v>97.3</v>
      </c>
      <c r="F50" s="3">
        <f>Cleaned_data!O50</f>
        <v>4.7</v>
      </c>
      <c r="G50" s="3">
        <v>11</v>
      </c>
      <c r="H50" s="3">
        <v>1</v>
      </c>
      <c r="I50" s="3">
        <f>Dummy_variables!S50</f>
        <v>0</v>
      </c>
      <c r="J50" s="3">
        <f>Dummy_variables!T50</f>
        <v>1</v>
      </c>
      <c r="K50" s="3">
        <f>Dummy_variables!U50</f>
        <v>0</v>
      </c>
      <c r="M50">
        <v>12</v>
      </c>
      <c r="N50">
        <v>865956.69908299437</v>
      </c>
      <c r="O50">
        <v>44835.240917005576</v>
      </c>
    </row>
    <row r="51" spans="1:15" ht="14.45">
      <c r="A51" s="3">
        <v>603297.56999999995</v>
      </c>
      <c r="B51" s="3">
        <v>49710.29</v>
      </c>
      <c r="C51" s="3">
        <v>5559</v>
      </c>
      <c r="D51" s="3">
        <v>0.218</v>
      </c>
      <c r="E51" s="3">
        <v>71</v>
      </c>
      <c r="F51" s="3">
        <f>Cleaned_data!O51</f>
        <v>4.5999999999999996</v>
      </c>
      <c r="G51" s="3">
        <v>14</v>
      </c>
      <c r="H51" s="3">
        <v>0</v>
      </c>
      <c r="I51" s="3">
        <f>Dummy_variables!S51</f>
        <v>0</v>
      </c>
      <c r="J51" s="3">
        <f>Dummy_variables!T51</f>
        <v>1</v>
      </c>
      <c r="K51" s="3">
        <f>Dummy_variables!U51</f>
        <v>0</v>
      </c>
      <c r="M51">
        <v>13</v>
      </c>
      <c r="N51">
        <v>892620.9186198758</v>
      </c>
      <c r="O51">
        <v>29547.681380124181</v>
      </c>
    </row>
    <row r="52" spans="1:15" ht="14.45">
      <c r="A52" s="3">
        <v>625672.86</v>
      </c>
      <c r="B52" s="3">
        <v>48287.85</v>
      </c>
      <c r="C52" s="3">
        <v>5150</v>
      </c>
      <c r="D52" s="3">
        <v>8.0000000000000002E-3</v>
      </c>
      <c r="E52" s="3">
        <v>80.400000000000006</v>
      </c>
      <c r="F52" s="3">
        <f>Cleaned_data!O52</f>
        <v>4.5</v>
      </c>
      <c r="G52" s="3">
        <v>12</v>
      </c>
      <c r="H52" s="3">
        <v>0</v>
      </c>
      <c r="I52" s="3">
        <f>Dummy_variables!S52</f>
        <v>0</v>
      </c>
      <c r="J52" s="3">
        <f>Dummy_variables!T52</f>
        <v>1</v>
      </c>
      <c r="K52" s="3">
        <f>Dummy_variables!U52</f>
        <v>0</v>
      </c>
      <c r="M52">
        <v>14</v>
      </c>
      <c r="N52">
        <v>774125.75174237543</v>
      </c>
      <c r="O52">
        <v>-47519.471742375405</v>
      </c>
    </row>
    <row r="53" spans="1:15" ht="14.45">
      <c r="A53" s="3">
        <v>773815.14</v>
      </c>
      <c r="B53" s="3">
        <v>65312.49</v>
      </c>
      <c r="C53" s="3">
        <v>7189</v>
      </c>
      <c r="D53" s="3">
        <v>0.05</v>
      </c>
      <c r="E53" s="3">
        <v>93.7</v>
      </c>
      <c r="F53" s="3">
        <f>Cleaned_data!O53</f>
        <v>4.5999999999999996</v>
      </c>
      <c r="G53" s="3">
        <v>19</v>
      </c>
      <c r="H53" s="3">
        <v>0</v>
      </c>
      <c r="I53" s="3">
        <f>Dummy_variables!S53</f>
        <v>0</v>
      </c>
      <c r="J53" s="3">
        <f>Dummy_variables!T53</f>
        <v>1</v>
      </c>
      <c r="K53" s="3">
        <f>Dummy_variables!U53</f>
        <v>0</v>
      </c>
      <c r="M53">
        <v>15</v>
      </c>
      <c r="N53">
        <v>749640.07980515948</v>
      </c>
      <c r="O53">
        <v>-3138.9898051595083</v>
      </c>
    </row>
    <row r="54" spans="1:15" ht="14.45">
      <c r="A54" s="3">
        <v>463534.25</v>
      </c>
      <c r="B54" s="3">
        <v>53015.46</v>
      </c>
      <c r="C54" s="3">
        <v>3279</v>
      </c>
      <c r="D54" s="3">
        <v>8.6999999999999994E-2</v>
      </c>
      <c r="E54" s="3">
        <v>84.3</v>
      </c>
      <c r="F54" s="3">
        <f>Cleaned_data!O54</f>
        <v>3.9</v>
      </c>
      <c r="G54" s="3">
        <v>9</v>
      </c>
      <c r="H54" s="3">
        <v>0</v>
      </c>
      <c r="I54" s="3">
        <f>Dummy_variables!S54</f>
        <v>1</v>
      </c>
      <c r="J54" s="3">
        <f>Dummy_variables!T54</f>
        <v>0</v>
      </c>
      <c r="K54" s="3">
        <f>Dummy_variables!U54</f>
        <v>0</v>
      </c>
      <c r="M54">
        <v>16</v>
      </c>
      <c r="N54">
        <v>814492.89050757186</v>
      </c>
      <c r="O54">
        <v>19524.129492428154</v>
      </c>
    </row>
    <row r="55" spans="1:15" ht="14.45">
      <c r="A55" s="3">
        <v>746677.75</v>
      </c>
      <c r="B55" s="3">
        <v>99874.01</v>
      </c>
      <c r="C55" s="3">
        <v>5887</v>
      </c>
      <c r="D55" s="3">
        <v>0.26200000000000001</v>
      </c>
      <c r="E55" s="3">
        <v>88.7</v>
      </c>
      <c r="F55" s="3">
        <f>Cleaned_data!O55</f>
        <v>4.7</v>
      </c>
      <c r="G55" s="3">
        <v>14</v>
      </c>
      <c r="H55" s="3">
        <v>0</v>
      </c>
      <c r="I55" s="3">
        <f>Dummy_variables!S55</f>
        <v>1</v>
      </c>
      <c r="J55" s="3">
        <f>Dummy_variables!T55</f>
        <v>0</v>
      </c>
      <c r="K55" s="3">
        <f>Dummy_variables!U55</f>
        <v>0</v>
      </c>
      <c r="M55">
        <v>17</v>
      </c>
      <c r="N55">
        <v>665372.45687748236</v>
      </c>
      <c r="O55">
        <v>780.06312251766212</v>
      </c>
    </row>
    <row r="56" spans="1:15" ht="14.45">
      <c r="A56" s="3">
        <v>720852.5</v>
      </c>
      <c r="B56" s="3">
        <v>81195.5</v>
      </c>
      <c r="C56" s="3">
        <v>5516</v>
      </c>
      <c r="D56" s="3">
        <v>0.106</v>
      </c>
      <c r="E56" s="3">
        <v>88</v>
      </c>
      <c r="F56" s="3">
        <f>Cleaned_data!O56</f>
        <v>4.3</v>
      </c>
      <c r="G56" s="3">
        <v>14</v>
      </c>
      <c r="H56" s="3">
        <v>0</v>
      </c>
      <c r="I56" s="3">
        <f>Dummy_variables!S56</f>
        <v>1</v>
      </c>
      <c r="J56" s="3">
        <f>Dummy_variables!T56</f>
        <v>0</v>
      </c>
      <c r="K56" s="3">
        <f>Dummy_variables!U56</f>
        <v>0</v>
      </c>
      <c r="M56">
        <v>18</v>
      </c>
      <c r="N56">
        <v>570307.70133181638</v>
      </c>
      <c r="O56">
        <v>2847.4886681835633</v>
      </c>
    </row>
    <row r="57" spans="1:15" ht="14.45">
      <c r="A57" s="3">
        <v>487464.91</v>
      </c>
      <c r="B57" s="3">
        <v>27808.6</v>
      </c>
      <c r="C57" s="3">
        <v>2863</v>
      </c>
      <c r="D57" s="3">
        <v>0.08</v>
      </c>
      <c r="E57" s="3">
        <v>89.3</v>
      </c>
      <c r="F57" s="3">
        <f>Cleaned_data!O57</f>
        <v>4.0999999999999996</v>
      </c>
      <c r="G57" s="3">
        <v>13</v>
      </c>
      <c r="H57" s="3">
        <v>0</v>
      </c>
      <c r="I57" s="3">
        <f>Dummy_variables!S57</f>
        <v>1</v>
      </c>
      <c r="J57" s="3">
        <f>Dummy_variables!T57</f>
        <v>0</v>
      </c>
      <c r="K57" s="3">
        <f>Dummy_variables!U57</f>
        <v>0</v>
      </c>
      <c r="M57">
        <v>19</v>
      </c>
      <c r="N57">
        <v>680766.53595539974</v>
      </c>
      <c r="O57">
        <v>-14193.335955399787</v>
      </c>
    </row>
    <row r="58" spans="1:15" ht="14.45">
      <c r="A58" s="3">
        <v>518049.26</v>
      </c>
      <c r="B58" s="3">
        <v>19365.060000000001</v>
      </c>
      <c r="C58" s="3">
        <v>2378</v>
      </c>
      <c r="D58" s="3">
        <v>0</v>
      </c>
      <c r="E58" s="3">
        <v>94.8</v>
      </c>
      <c r="F58" s="3">
        <f>Cleaned_data!O58</f>
        <v>3.5</v>
      </c>
      <c r="G58" s="3">
        <v>12</v>
      </c>
      <c r="H58" s="3">
        <v>0</v>
      </c>
      <c r="I58" s="3">
        <f>Dummy_variables!S58</f>
        <v>0</v>
      </c>
      <c r="J58" s="3">
        <f>Dummy_variables!T58</f>
        <v>0</v>
      </c>
      <c r="K58" s="3">
        <f>Dummy_variables!U58</f>
        <v>0</v>
      </c>
      <c r="M58">
        <v>20</v>
      </c>
      <c r="N58">
        <v>593249.02685428178</v>
      </c>
      <c r="O58">
        <v>-1629.0768542818259</v>
      </c>
    </row>
    <row r="59" spans="1:15" ht="14.45">
      <c r="A59" s="3">
        <v>500298.48</v>
      </c>
      <c r="B59" s="3">
        <v>59405.68</v>
      </c>
      <c r="C59" s="3">
        <v>2515</v>
      </c>
      <c r="D59" s="3">
        <v>3.9E-2</v>
      </c>
      <c r="E59" s="3">
        <v>76</v>
      </c>
      <c r="F59" s="3">
        <f>Cleaned_data!O59</f>
        <v>3.7</v>
      </c>
      <c r="G59" s="3">
        <v>12</v>
      </c>
      <c r="H59" s="3">
        <v>0</v>
      </c>
      <c r="I59" s="3">
        <f>Dummy_variables!S59</f>
        <v>0</v>
      </c>
      <c r="J59" s="3">
        <f>Dummy_variables!T59</f>
        <v>0</v>
      </c>
      <c r="K59" s="3">
        <f>Dummy_variables!U59</f>
        <v>0</v>
      </c>
      <c r="M59">
        <v>21</v>
      </c>
      <c r="N59">
        <v>497366.0129497684</v>
      </c>
      <c r="O59">
        <v>-81644.192949768389</v>
      </c>
    </row>
    <row r="60" spans="1:15" ht="14.45">
      <c r="A60" s="3">
        <v>617291.15</v>
      </c>
      <c r="B60" s="3">
        <v>118910.48</v>
      </c>
      <c r="C60" s="3">
        <v>4022</v>
      </c>
      <c r="D60" s="3">
        <v>0.13700000000000001</v>
      </c>
      <c r="E60" s="3">
        <v>87.1</v>
      </c>
      <c r="F60" s="3">
        <f>Cleaned_data!O60</f>
        <v>3.1</v>
      </c>
      <c r="G60" s="3">
        <v>11</v>
      </c>
      <c r="H60" s="3">
        <v>0</v>
      </c>
      <c r="I60" s="3">
        <f>Dummy_variables!S60</f>
        <v>0</v>
      </c>
      <c r="J60" s="3">
        <f>Dummy_variables!T60</f>
        <v>0</v>
      </c>
      <c r="K60" s="3">
        <f>Dummy_variables!U60</f>
        <v>0</v>
      </c>
      <c r="M60">
        <v>22</v>
      </c>
      <c r="N60">
        <v>493918.43666764355</v>
      </c>
      <c r="O60">
        <v>-2013.306667643541</v>
      </c>
    </row>
    <row r="61" spans="1:15" ht="14.45">
      <c r="A61" s="3">
        <v>553756.43000000005</v>
      </c>
      <c r="B61" s="3">
        <v>52952.12</v>
      </c>
      <c r="C61" s="3">
        <v>4377</v>
      </c>
      <c r="D61" s="3">
        <v>9.1999999999999998E-2</v>
      </c>
      <c r="E61" s="3">
        <v>88.6</v>
      </c>
      <c r="F61" s="3">
        <f>Cleaned_data!O61</f>
        <v>3.1</v>
      </c>
      <c r="G61" s="3">
        <v>14</v>
      </c>
      <c r="H61" s="3">
        <v>0</v>
      </c>
      <c r="I61" s="3">
        <f>Dummy_variables!S61</f>
        <v>0</v>
      </c>
      <c r="J61" s="3">
        <f>Dummy_variables!T61</f>
        <v>0</v>
      </c>
      <c r="K61" s="3">
        <f>Dummy_variables!U61</f>
        <v>0</v>
      </c>
      <c r="M61">
        <v>23</v>
      </c>
      <c r="N61">
        <v>544293.51711845829</v>
      </c>
      <c r="O61">
        <v>11635.882881541736</v>
      </c>
    </row>
    <row r="62" spans="1:15" ht="14.45">
      <c r="A62" s="3">
        <v>749559.71</v>
      </c>
      <c r="B62" s="3">
        <v>74907.98</v>
      </c>
      <c r="C62" s="3">
        <v>5306</v>
      </c>
      <c r="D62" s="3">
        <v>6.2E-2</v>
      </c>
      <c r="E62" s="3">
        <v>95.6</v>
      </c>
      <c r="F62" s="3">
        <f>Cleaned_data!O62</f>
        <v>3.7</v>
      </c>
      <c r="G62" s="3">
        <v>16</v>
      </c>
      <c r="H62" s="3">
        <v>0</v>
      </c>
      <c r="I62" s="3">
        <f>Dummy_variables!S62</f>
        <v>1</v>
      </c>
      <c r="J62" s="3">
        <f>Dummy_variables!T62</f>
        <v>0</v>
      </c>
      <c r="K62" s="3">
        <f>Dummy_variables!U62</f>
        <v>0</v>
      </c>
      <c r="M62">
        <v>24</v>
      </c>
      <c r="N62">
        <v>558061.93834929029</v>
      </c>
      <c r="O62">
        <v>7749.0516507097054</v>
      </c>
    </row>
    <row r="63" spans="1:15" ht="14.45">
      <c r="A63" s="3">
        <v>615966.48</v>
      </c>
      <c r="B63" s="3">
        <v>37284.660000000003</v>
      </c>
      <c r="C63" s="3">
        <v>3928</v>
      </c>
      <c r="D63" s="3">
        <v>7.3999999999999996E-2</v>
      </c>
      <c r="E63" s="3">
        <v>86.5</v>
      </c>
      <c r="F63" s="3">
        <f>Cleaned_data!O63</f>
        <v>3.8</v>
      </c>
      <c r="G63" s="3">
        <v>12</v>
      </c>
      <c r="H63" s="3">
        <v>0</v>
      </c>
      <c r="I63" s="3">
        <f>Dummy_variables!S63</f>
        <v>1</v>
      </c>
      <c r="J63" s="3">
        <f>Dummy_variables!T63</f>
        <v>0</v>
      </c>
      <c r="K63" s="3">
        <f>Dummy_variables!U63</f>
        <v>0</v>
      </c>
      <c r="M63">
        <v>25</v>
      </c>
      <c r="N63">
        <v>836340.48445511609</v>
      </c>
      <c r="O63">
        <v>-24569.344455116079</v>
      </c>
    </row>
    <row r="64" spans="1:15" ht="14.45">
      <c r="A64" s="3">
        <v>572011.19999999995</v>
      </c>
      <c r="B64" s="3">
        <v>50343.19</v>
      </c>
      <c r="C64" s="3">
        <v>3845</v>
      </c>
      <c r="D64" s="3">
        <v>0.113</v>
      </c>
      <c r="E64" s="3">
        <v>88.7</v>
      </c>
      <c r="F64" s="3">
        <f>Cleaned_data!O64</f>
        <v>3.3</v>
      </c>
      <c r="G64" s="3">
        <v>9</v>
      </c>
      <c r="H64" s="3">
        <v>0</v>
      </c>
      <c r="I64" s="3">
        <f>Dummy_variables!S64</f>
        <v>1</v>
      </c>
      <c r="J64" s="3">
        <f>Dummy_variables!T64</f>
        <v>0</v>
      </c>
      <c r="K64" s="3">
        <f>Dummy_variables!U64</f>
        <v>0</v>
      </c>
      <c r="M64">
        <v>26</v>
      </c>
      <c r="N64">
        <v>900671.78709299967</v>
      </c>
      <c r="O64">
        <v>-100219.84709299973</v>
      </c>
    </row>
    <row r="65" spans="1:15" ht="14.45">
      <c r="A65" s="3">
        <v>761860.19</v>
      </c>
      <c r="B65" s="3">
        <v>74954.47</v>
      </c>
      <c r="C65" s="3">
        <v>6620</v>
      </c>
      <c r="D65" s="3">
        <v>5.3999999999999999E-2</v>
      </c>
      <c r="E65" s="3">
        <v>91.1</v>
      </c>
      <c r="F65" s="3">
        <f>Cleaned_data!O65</f>
        <v>3.5</v>
      </c>
      <c r="G65" s="3">
        <v>17</v>
      </c>
      <c r="H65" s="3">
        <v>0</v>
      </c>
      <c r="I65" s="3">
        <f>Dummy_variables!S65</f>
        <v>1</v>
      </c>
      <c r="J65" s="3">
        <f>Dummy_variables!T65</f>
        <v>0</v>
      </c>
      <c r="K65" s="3">
        <f>Dummy_variables!U65</f>
        <v>0</v>
      </c>
      <c r="M65">
        <v>27</v>
      </c>
      <c r="N65">
        <v>795655.86639435927</v>
      </c>
      <c r="O65">
        <v>-11983.04639435932</v>
      </c>
    </row>
    <row r="66" spans="1:15" ht="14.45">
      <c r="A66" s="3">
        <v>784502.68</v>
      </c>
      <c r="B66" s="3">
        <v>70040.31</v>
      </c>
      <c r="C66" s="3">
        <v>9175</v>
      </c>
      <c r="D66" s="3">
        <v>0.107</v>
      </c>
      <c r="E66" s="3">
        <v>95.1</v>
      </c>
      <c r="F66" s="3">
        <f>Cleaned_data!O66</f>
        <v>3.4</v>
      </c>
      <c r="G66" s="3">
        <v>23</v>
      </c>
      <c r="H66" s="3">
        <v>1</v>
      </c>
      <c r="I66" s="3">
        <f>Dummy_variables!S66</f>
        <v>1</v>
      </c>
      <c r="J66" s="3">
        <f>Dummy_variables!T66</f>
        <v>0</v>
      </c>
      <c r="K66" s="3">
        <f>Dummy_variables!U66</f>
        <v>0</v>
      </c>
      <c r="M66">
        <v>28</v>
      </c>
      <c r="N66">
        <v>687589.82689471764</v>
      </c>
      <c r="O66">
        <v>14052.143105282332</v>
      </c>
    </row>
    <row r="67" spans="1:15" ht="14.45">
      <c r="A67" s="3">
        <v>717141.55</v>
      </c>
      <c r="B67" s="3">
        <v>51148.69</v>
      </c>
      <c r="C67" s="3">
        <v>7940</v>
      </c>
      <c r="D67" s="3">
        <v>0.156</v>
      </c>
      <c r="E67" s="3">
        <v>93.3</v>
      </c>
      <c r="F67" s="3">
        <f>Cleaned_data!O67</f>
        <v>3.6</v>
      </c>
      <c r="G67" s="3">
        <v>18</v>
      </c>
      <c r="H67" s="3">
        <v>0</v>
      </c>
      <c r="I67" s="3">
        <f>Dummy_variables!S67</f>
        <v>1</v>
      </c>
      <c r="J67" s="3">
        <f>Dummy_variables!T67</f>
        <v>0</v>
      </c>
      <c r="K67" s="3">
        <f>Dummy_variables!U67</f>
        <v>0</v>
      </c>
      <c r="M67">
        <v>29</v>
      </c>
      <c r="N67">
        <v>571506.83765685384</v>
      </c>
      <c r="O67">
        <v>-59662.427656853863</v>
      </c>
    </row>
    <row r="68" spans="1:15" ht="14.45">
      <c r="A68" s="3">
        <v>685379.08</v>
      </c>
      <c r="B68" s="3">
        <v>79346.100000000006</v>
      </c>
      <c r="C68" s="3">
        <v>9628</v>
      </c>
      <c r="D68" s="3">
        <v>0.10199999999999999</v>
      </c>
      <c r="E68" s="3">
        <v>99</v>
      </c>
      <c r="F68" s="3">
        <f>Cleaned_data!O68</f>
        <v>3.2</v>
      </c>
      <c r="G68" s="3">
        <v>20</v>
      </c>
      <c r="H68" s="3">
        <v>1</v>
      </c>
      <c r="I68" s="3">
        <f>Dummy_variables!S68</f>
        <v>1</v>
      </c>
      <c r="J68" s="3">
        <f>Dummy_variables!T68</f>
        <v>0</v>
      </c>
      <c r="K68" s="3">
        <f>Dummy_variables!U68</f>
        <v>0</v>
      </c>
      <c r="M68">
        <v>30</v>
      </c>
      <c r="N68">
        <v>508995.82918240037</v>
      </c>
      <c r="O68">
        <v>28387.960817599669</v>
      </c>
    </row>
    <row r="69" spans="1:15" ht="14.45">
      <c r="A69" s="3">
        <v>740496.65</v>
      </c>
      <c r="B69" s="3">
        <v>42018.400000000001</v>
      </c>
      <c r="C69" s="3">
        <v>8296</v>
      </c>
      <c r="D69" s="3">
        <v>0.115</v>
      </c>
      <c r="E69" s="3">
        <v>91.8</v>
      </c>
      <c r="F69" s="3">
        <f>Cleaned_data!O69</f>
        <v>3.4</v>
      </c>
      <c r="G69" s="3">
        <v>17</v>
      </c>
      <c r="H69" s="3">
        <v>0</v>
      </c>
      <c r="I69" s="3">
        <f>Dummy_variables!S69</f>
        <v>1</v>
      </c>
      <c r="J69" s="3">
        <f>Dummy_variables!T69</f>
        <v>0</v>
      </c>
      <c r="K69" s="3">
        <f>Dummy_variables!U69</f>
        <v>0</v>
      </c>
      <c r="M69">
        <v>31</v>
      </c>
      <c r="N69">
        <v>524080.39730508858</v>
      </c>
      <c r="O69">
        <v>-23907.377305088565</v>
      </c>
    </row>
    <row r="70" spans="1:15" ht="14.45">
      <c r="A70" s="3">
        <v>661927.14</v>
      </c>
      <c r="B70" s="3">
        <v>70937.240000000005</v>
      </c>
      <c r="C70" s="3">
        <v>3595</v>
      </c>
      <c r="D70" s="3">
        <v>0.14099999999999999</v>
      </c>
      <c r="E70" s="3">
        <v>88.9</v>
      </c>
      <c r="F70" s="3">
        <f>Cleaned_data!O70</f>
        <v>3.3</v>
      </c>
      <c r="G70" s="3">
        <v>11</v>
      </c>
      <c r="H70" s="3">
        <v>1</v>
      </c>
      <c r="I70" s="3">
        <f>Dummy_variables!S70</f>
        <v>1</v>
      </c>
      <c r="J70" s="3">
        <f>Dummy_variables!T70</f>
        <v>0</v>
      </c>
      <c r="K70" s="3">
        <f>Dummy_variables!U70</f>
        <v>0</v>
      </c>
      <c r="M70">
        <v>32</v>
      </c>
      <c r="N70">
        <v>481718.61003243836</v>
      </c>
      <c r="O70">
        <v>-53801.230032438354</v>
      </c>
    </row>
    <row r="71" spans="1:15" ht="14.45">
      <c r="A71" s="3">
        <v>479050.5</v>
      </c>
      <c r="B71" s="3">
        <v>36813.449999999997</v>
      </c>
      <c r="C71" s="3">
        <v>2834</v>
      </c>
      <c r="D71" s="3">
        <v>0.191</v>
      </c>
      <c r="E71" s="3">
        <v>81.8</v>
      </c>
      <c r="F71" s="3">
        <f>Cleaned_data!O71</f>
        <v>3.3</v>
      </c>
      <c r="G71" s="3">
        <v>11</v>
      </c>
      <c r="H71" s="3">
        <v>0</v>
      </c>
      <c r="I71" s="3">
        <f>Dummy_variables!S71</f>
        <v>1</v>
      </c>
      <c r="J71" s="3">
        <f>Dummy_variables!T71</f>
        <v>0</v>
      </c>
      <c r="K71" s="3">
        <f>Dummy_variables!U71</f>
        <v>0</v>
      </c>
      <c r="M71">
        <v>33</v>
      </c>
      <c r="N71">
        <v>736471.60197931645</v>
      </c>
      <c r="O71">
        <v>-94606.571979316417</v>
      </c>
    </row>
    <row r="72" spans="1:15" ht="14.45">
      <c r="A72" s="3">
        <v>605023.87</v>
      </c>
      <c r="B72" s="3">
        <v>60571.82</v>
      </c>
      <c r="C72" s="3">
        <v>3193</v>
      </c>
      <c r="D72" s="3">
        <v>0.19700000000000001</v>
      </c>
      <c r="E72" s="3">
        <v>99</v>
      </c>
      <c r="F72" s="3">
        <f>Cleaned_data!O72</f>
        <v>3.2</v>
      </c>
      <c r="G72" s="3">
        <v>7</v>
      </c>
      <c r="H72" s="3">
        <v>0</v>
      </c>
      <c r="I72" s="3">
        <f>Dummy_variables!S72</f>
        <v>1</v>
      </c>
      <c r="J72" s="3">
        <f>Dummy_variables!T72</f>
        <v>0</v>
      </c>
      <c r="K72" s="3">
        <f>Dummy_variables!U72</f>
        <v>0</v>
      </c>
      <c r="M72">
        <v>34</v>
      </c>
      <c r="N72">
        <v>845243.89043019467</v>
      </c>
      <c r="O72">
        <v>-45766.130430194666</v>
      </c>
    </row>
    <row r="73" spans="1:15" ht="14.45">
      <c r="A73" s="3">
        <v>674774.09</v>
      </c>
      <c r="B73" s="3">
        <v>55081.16</v>
      </c>
      <c r="C73" s="3">
        <v>5485</v>
      </c>
      <c r="D73" s="3">
        <v>3.5999999999999997E-2</v>
      </c>
      <c r="E73" s="3">
        <v>88</v>
      </c>
      <c r="F73" s="3">
        <f>Cleaned_data!O73</f>
        <v>3.5</v>
      </c>
      <c r="G73" s="3">
        <v>12</v>
      </c>
      <c r="H73" s="3">
        <v>0</v>
      </c>
      <c r="I73" s="3">
        <f>Dummy_variables!S73</f>
        <v>1</v>
      </c>
      <c r="J73" s="3">
        <f>Dummy_variables!T73</f>
        <v>0</v>
      </c>
      <c r="K73" s="3">
        <f>Dummy_variables!U73</f>
        <v>0</v>
      </c>
      <c r="M73">
        <v>35</v>
      </c>
      <c r="N73">
        <v>796078.55543773226</v>
      </c>
      <c r="O73">
        <v>2873.6145622677868</v>
      </c>
    </row>
    <row r="74" spans="1:15" ht="14.45">
      <c r="A74" s="3">
        <v>616069.41</v>
      </c>
      <c r="B74" s="3">
        <v>46201.46</v>
      </c>
      <c r="C74" s="3">
        <v>5918</v>
      </c>
      <c r="D74" s="3">
        <v>0.27700000000000002</v>
      </c>
      <c r="E74" s="3">
        <v>78.8</v>
      </c>
      <c r="F74" s="3">
        <f>Cleaned_data!O74</f>
        <v>4.5</v>
      </c>
      <c r="G74" s="3">
        <v>13</v>
      </c>
      <c r="H74" s="3">
        <v>0</v>
      </c>
      <c r="I74" s="3">
        <f>Dummy_variables!S74</f>
        <v>0</v>
      </c>
      <c r="J74" s="3">
        <f>Dummy_variables!T74</f>
        <v>0</v>
      </c>
      <c r="K74" s="3">
        <f>Dummy_variables!U74</f>
        <v>1</v>
      </c>
      <c r="M74">
        <v>36</v>
      </c>
      <c r="N74">
        <v>812560.82114312286</v>
      </c>
      <c r="O74">
        <v>-11581.041143122828</v>
      </c>
    </row>
    <row r="75" spans="1:15" ht="14.45">
      <c r="A75" s="3">
        <v>630829.93999999994</v>
      </c>
      <c r="B75" s="3">
        <v>53762.92</v>
      </c>
      <c r="C75" s="3">
        <v>6821</v>
      </c>
      <c r="D75" s="3">
        <v>6.6000000000000003E-2</v>
      </c>
      <c r="E75" s="3">
        <v>94.6</v>
      </c>
      <c r="F75" s="3">
        <f>Cleaned_data!O75</f>
        <v>4.4000000000000004</v>
      </c>
      <c r="G75" s="3">
        <v>19</v>
      </c>
      <c r="H75" s="3">
        <v>0</v>
      </c>
      <c r="I75" s="3">
        <f>Dummy_variables!S75</f>
        <v>0</v>
      </c>
      <c r="J75" s="3">
        <f>Dummy_variables!T75</f>
        <v>0</v>
      </c>
      <c r="K75" s="3">
        <f>Dummy_variables!U75</f>
        <v>1</v>
      </c>
      <c r="M75">
        <v>37</v>
      </c>
      <c r="N75">
        <v>793660.23605993099</v>
      </c>
      <c r="O75">
        <v>26933.693940069061</v>
      </c>
    </row>
    <row r="76" spans="1:15" ht="14.45">
      <c r="A76" s="3">
        <v>788087.68</v>
      </c>
      <c r="B76" s="3">
        <v>70144.78</v>
      </c>
      <c r="C76" s="3">
        <v>6806</v>
      </c>
      <c r="D76" s="3">
        <v>0.17799999999999999</v>
      </c>
      <c r="E76" s="3">
        <v>93.1</v>
      </c>
      <c r="F76" s="3">
        <f>Cleaned_data!O76</f>
        <v>4.3</v>
      </c>
      <c r="G76" s="3">
        <v>20</v>
      </c>
      <c r="H76" s="3">
        <v>1</v>
      </c>
      <c r="I76" s="3">
        <f>Dummy_variables!S76</f>
        <v>0</v>
      </c>
      <c r="J76" s="3">
        <f>Dummy_variables!T76</f>
        <v>0</v>
      </c>
      <c r="K76" s="3">
        <f>Dummy_variables!U76</f>
        <v>1</v>
      </c>
      <c r="M76">
        <v>38</v>
      </c>
      <c r="N76">
        <v>759073.60639184574</v>
      </c>
      <c r="O76">
        <v>-40743.076391845709</v>
      </c>
    </row>
    <row r="77" spans="1:15" ht="14.45">
      <c r="A77" s="3">
        <v>680840.36</v>
      </c>
      <c r="B77" s="3">
        <v>58749.63</v>
      </c>
      <c r="C77" s="3">
        <v>8252</v>
      </c>
      <c r="D77" s="3">
        <v>0.20300000000000001</v>
      </c>
      <c r="E77" s="3">
        <v>85.2</v>
      </c>
      <c r="F77" s="3">
        <f>Cleaned_data!O77</f>
        <v>4.5</v>
      </c>
      <c r="G77" s="3">
        <v>20</v>
      </c>
      <c r="H77" s="3">
        <v>0</v>
      </c>
      <c r="I77" s="3">
        <f>Dummy_variables!S77</f>
        <v>0</v>
      </c>
      <c r="J77" s="3">
        <f>Dummy_variables!T77</f>
        <v>0</v>
      </c>
      <c r="K77" s="3">
        <f>Dummy_variables!U77</f>
        <v>1</v>
      </c>
      <c r="M77">
        <v>39</v>
      </c>
      <c r="N77">
        <v>747939.45729270554</v>
      </c>
      <c r="O77">
        <v>-11306.057292705518</v>
      </c>
    </row>
    <row r="78" spans="1:15" ht="14.45">
      <c r="A78" s="3">
        <v>643657.47</v>
      </c>
      <c r="B78" s="3">
        <v>56973.18</v>
      </c>
      <c r="C78" s="3">
        <v>6662</v>
      </c>
      <c r="D78" s="3">
        <v>0.1</v>
      </c>
      <c r="E78" s="3">
        <v>77.7</v>
      </c>
      <c r="F78" s="3">
        <f>Cleaned_data!O78</f>
        <v>3.2</v>
      </c>
      <c r="G78" s="3">
        <v>15</v>
      </c>
      <c r="H78" s="3">
        <v>1</v>
      </c>
      <c r="I78" s="3">
        <f>Dummy_variables!S78</f>
        <v>1</v>
      </c>
      <c r="J78" s="3">
        <f>Dummy_variables!T78</f>
        <v>0</v>
      </c>
      <c r="K78" s="3">
        <f>Dummy_variables!U78</f>
        <v>0</v>
      </c>
      <c r="M78">
        <v>40</v>
      </c>
      <c r="N78">
        <v>841735.55854251527</v>
      </c>
      <c r="O78">
        <v>-13111.708542515291</v>
      </c>
    </row>
    <row r="79" spans="1:15" ht="14.45">
      <c r="A79" s="3">
        <v>691112.6</v>
      </c>
      <c r="B79" s="3">
        <v>54872.82</v>
      </c>
      <c r="C79" s="3">
        <v>5962</v>
      </c>
      <c r="D79" s="3">
        <v>6.4000000000000001E-2</v>
      </c>
      <c r="E79" s="3">
        <v>85.4</v>
      </c>
      <c r="F79" s="3">
        <f>Cleaned_data!O79</f>
        <v>2.9</v>
      </c>
      <c r="G79" s="3">
        <v>12</v>
      </c>
      <c r="H79" s="3">
        <v>0</v>
      </c>
      <c r="I79" s="3">
        <f>Dummy_variables!S79</f>
        <v>1</v>
      </c>
      <c r="J79" s="3">
        <f>Dummy_variables!T79</f>
        <v>0</v>
      </c>
      <c r="K79" s="3">
        <f>Dummy_variables!U79</f>
        <v>0</v>
      </c>
      <c r="M79">
        <v>41</v>
      </c>
      <c r="N79">
        <v>594213.6702535873</v>
      </c>
      <c r="O79">
        <v>-2017.8202535873279</v>
      </c>
    </row>
    <row r="80" spans="1:15" ht="14.45">
      <c r="A80" s="3">
        <v>776922.17</v>
      </c>
      <c r="B80" s="3">
        <v>80562.81</v>
      </c>
      <c r="C80" s="3">
        <v>7470</v>
      </c>
      <c r="D80" s="3">
        <v>0.17199999999999999</v>
      </c>
      <c r="E80" s="3">
        <v>83.5</v>
      </c>
      <c r="F80" s="3">
        <f>Cleaned_data!O80</f>
        <v>3.3</v>
      </c>
      <c r="G80" s="3">
        <v>16</v>
      </c>
      <c r="H80" s="3">
        <v>0</v>
      </c>
      <c r="I80" s="3">
        <f>Dummy_variables!S80</f>
        <v>1</v>
      </c>
      <c r="J80" s="3">
        <f>Dummy_variables!T80</f>
        <v>0</v>
      </c>
      <c r="K80" s="3">
        <f>Dummy_variables!U80</f>
        <v>0</v>
      </c>
      <c r="M80">
        <v>42</v>
      </c>
      <c r="N80">
        <v>529063.29676468612</v>
      </c>
      <c r="O80">
        <v>3581.1632353138411</v>
      </c>
    </row>
    <row r="81" spans="1:15" ht="14.45">
      <c r="A81" s="3">
        <v>636561.34</v>
      </c>
      <c r="B81" s="3">
        <v>77999.899999999994</v>
      </c>
      <c r="C81" s="3">
        <v>5974</v>
      </c>
      <c r="D81" s="3">
        <v>0.252</v>
      </c>
      <c r="E81" s="3">
        <v>81.3</v>
      </c>
      <c r="F81" s="3">
        <f>Cleaned_data!O81</f>
        <v>3.2</v>
      </c>
      <c r="G81" s="3">
        <v>14</v>
      </c>
      <c r="H81" s="3">
        <v>0</v>
      </c>
      <c r="I81" s="3">
        <f>Dummy_variables!S81</f>
        <v>1</v>
      </c>
      <c r="J81" s="3">
        <f>Dummy_variables!T81</f>
        <v>0</v>
      </c>
      <c r="K81" s="3">
        <f>Dummy_variables!U81</f>
        <v>0</v>
      </c>
      <c r="M81">
        <v>43</v>
      </c>
      <c r="N81">
        <v>620943.0590369344</v>
      </c>
      <c r="O81">
        <v>36486.120963065652</v>
      </c>
    </row>
    <row r="82" spans="1:15" ht="14.45">
      <c r="A82" s="3">
        <v>621369.57999999996</v>
      </c>
      <c r="B82" s="3">
        <v>60881.01</v>
      </c>
      <c r="C82" s="3">
        <v>5410</v>
      </c>
      <c r="D82" s="3">
        <v>0.17899999999999999</v>
      </c>
      <c r="E82" s="3">
        <v>83.9</v>
      </c>
      <c r="F82" s="3">
        <f>Cleaned_data!O82</f>
        <v>4.5999999999999996</v>
      </c>
      <c r="G82" s="3">
        <v>15</v>
      </c>
      <c r="H82" s="3">
        <v>0</v>
      </c>
      <c r="I82" s="3">
        <f>Dummy_variables!S82</f>
        <v>0</v>
      </c>
      <c r="J82" s="3">
        <f>Dummy_variables!T82</f>
        <v>1</v>
      </c>
      <c r="K82" s="3">
        <f>Dummy_variables!U82</f>
        <v>0</v>
      </c>
      <c r="M82">
        <v>44</v>
      </c>
      <c r="N82">
        <v>617386.40155286063</v>
      </c>
      <c r="O82">
        <v>-12208.401552860625</v>
      </c>
    </row>
    <row r="83" spans="1:15" ht="14.45">
      <c r="A83" s="3">
        <v>682208.01</v>
      </c>
      <c r="B83" s="3">
        <v>60628.38</v>
      </c>
      <c r="C83" s="3">
        <v>4451</v>
      </c>
      <c r="D83" s="3">
        <v>9.5000000000000001E-2</v>
      </c>
      <c r="E83" s="3">
        <v>89.6</v>
      </c>
      <c r="F83" s="3">
        <f>Cleaned_data!O83</f>
        <v>4.5999999999999996</v>
      </c>
      <c r="G83" s="3">
        <v>10</v>
      </c>
      <c r="H83" s="3">
        <v>0</v>
      </c>
      <c r="I83" s="3">
        <f>Dummy_variables!S83</f>
        <v>0</v>
      </c>
      <c r="J83" s="3">
        <f>Dummy_variables!T83</f>
        <v>1</v>
      </c>
      <c r="K83" s="3">
        <f>Dummy_variables!U83</f>
        <v>0</v>
      </c>
      <c r="M83">
        <v>45</v>
      </c>
      <c r="N83">
        <v>714141.06915020943</v>
      </c>
      <c r="O83">
        <v>-118673.46915020945</v>
      </c>
    </row>
    <row r="84" spans="1:15" ht="14.45">
      <c r="A84" s="3">
        <v>727241.86</v>
      </c>
      <c r="B84" s="3">
        <v>72731.14</v>
      </c>
      <c r="C84" s="3">
        <v>4644</v>
      </c>
      <c r="D84" s="3">
        <v>8.4000000000000005E-2</v>
      </c>
      <c r="E84" s="3">
        <v>87.1</v>
      </c>
      <c r="F84" s="3">
        <f>Cleaned_data!O84</f>
        <v>4.5999999999999996</v>
      </c>
      <c r="G84" s="3">
        <v>15</v>
      </c>
      <c r="H84" s="3">
        <v>0</v>
      </c>
      <c r="I84" s="3">
        <f>Dummy_variables!S84</f>
        <v>0</v>
      </c>
      <c r="J84" s="3">
        <f>Dummy_variables!T84</f>
        <v>1</v>
      </c>
      <c r="K84" s="3">
        <f>Dummy_variables!U84</f>
        <v>0</v>
      </c>
      <c r="M84">
        <v>46</v>
      </c>
      <c r="N84">
        <v>621601.2791928451</v>
      </c>
      <c r="O84">
        <v>-21997.879192845081</v>
      </c>
    </row>
    <row r="85" spans="1:15" ht="14.45">
      <c r="A85" s="3">
        <v>569100.78</v>
      </c>
      <c r="B85" s="3">
        <v>36475.71</v>
      </c>
      <c r="C85" s="3">
        <v>3559</v>
      </c>
      <c r="D85" s="3">
        <v>0.03</v>
      </c>
      <c r="E85" s="3">
        <v>83.6</v>
      </c>
      <c r="F85" s="3">
        <f>Cleaned_data!O85</f>
        <v>4.2</v>
      </c>
      <c r="G85" s="3">
        <v>8</v>
      </c>
      <c r="H85" s="3">
        <v>0</v>
      </c>
      <c r="I85" s="3">
        <f>Dummy_variables!S85</f>
        <v>0</v>
      </c>
      <c r="J85" s="3">
        <f>Dummy_variables!T85</f>
        <v>1</v>
      </c>
      <c r="K85" s="3">
        <f>Dummy_variables!U85</f>
        <v>0</v>
      </c>
      <c r="M85">
        <v>47</v>
      </c>
      <c r="N85">
        <v>572880.3003645119</v>
      </c>
      <c r="O85">
        <v>41919.789635488065</v>
      </c>
    </row>
    <row r="86" spans="1:15" ht="14.45">
      <c r="A86" s="3">
        <v>574436.29</v>
      </c>
      <c r="B86" s="3">
        <v>55388.11</v>
      </c>
      <c r="C86" s="3">
        <v>3091</v>
      </c>
      <c r="D86" s="3">
        <v>0.108</v>
      </c>
      <c r="E86" s="3">
        <v>85.4</v>
      </c>
      <c r="F86" s="3">
        <f>Cleaned_data!O86</f>
        <v>4.9000000000000004</v>
      </c>
      <c r="G86" s="3">
        <v>7</v>
      </c>
      <c r="H86" s="3">
        <v>0</v>
      </c>
      <c r="I86" s="3">
        <f>Dummy_variables!S86</f>
        <v>1</v>
      </c>
      <c r="J86" s="3">
        <f>Dummy_variables!T86</f>
        <v>0</v>
      </c>
      <c r="K86" s="3">
        <f>Dummy_variables!U86</f>
        <v>0</v>
      </c>
      <c r="M86">
        <v>48</v>
      </c>
      <c r="N86">
        <v>559198.12084837526</v>
      </c>
      <c r="O86">
        <v>26167.609151624725</v>
      </c>
    </row>
    <row r="87" spans="1:15" ht="14.45">
      <c r="A87" s="3">
        <v>611766.72</v>
      </c>
      <c r="B87" s="3">
        <v>88443.77</v>
      </c>
      <c r="C87" s="3">
        <v>4004</v>
      </c>
      <c r="D87" s="3">
        <v>0.20599999999999999</v>
      </c>
      <c r="E87" s="3">
        <v>91.9</v>
      </c>
      <c r="F87" s="3">
        <f>Cleaned_data!O87</f>
        <v>3.9</v>
      </c>
      <c r="G87" s="3">
        <v>11</v>
      </c>
      <c r="H87" s="3">
        <v>0</v>
      </c>
      <c r="I87" s="3">
        <f>Dummy_variables!S87</f>
        <v>1</v>
      </c>
      <c r="J87" s="3">
        <f>Dummy_variables!T87</f>
        <v>0</v>
      </c>
      <c r="K87" s="3">
        <f>Dummy_variables!U87</f>
        <v>0</v>
      </c>
      <c r="M87">
        <v>49</v>
      </c>
      <c r="N87">
        <v>673860.35784833832</v>
      </c>
      <c r="O87">
        <v>-51048.617848338326</v>
      </c>
    </row>
    <row r="88" spans="1:15" ht="14.45">
      <c r="A88" s="3">
        <v>614596.31999999995</v>
      </c>
      <c r="B88" s="3">
        <v>78231.91</v>
      </c>
      <c r="C88" s="3">
        <v>3788</v>
      </c>
      <c r="D88" s="3">
        <v>5.8999999999999997E-2</v>
      </c>
      <c r="E88" s="3">
        <v>88.5</v>
      </c>
      <c r="F88" s="3">
        <f>Cleaned_data!O88</f>
        <v>4.3</v>
      </c>
      <c r="G88" s="3">
        <v>11</v>
      </c>
      <c r="H88" s="3">
        <v>0</v>
      </c>
      <c r="I88" s="3">
        <f>Dummy_variables!S88</f>
        <v>1</v>
      </c>
      <c r="J88" s="3">
        <f>Dummy_variables!T88</f>
        <v>0</v>
      </c>
      <c r="K88" s="3">
        <f>Dummy_variables!U88</f>
        <v>0</v>
      </c>
      <c r="M88">
        <v>50</v>
      </c>
      <c r="N88">
        <v>594274.77317793493</v>
      </c>
      <c r="O88">
        <v>9022.7968220650218</v>
      </c>
    </row>
    <row r="89" spans="1:15" ht="14.45">
      <c r="A89" s="3">
        <v>450711.92</v>
      </c>
      <c r="B89" s="3">
        <v>18996.32</v>
      </c>
      <c r="C89" s="3">
        <v>1260</v>
      </c>
      <c r="D89" s="3">
        <v>0.14499999999999999</v>
      </c>
      <c r="E89" s="3">
        <v>86.4</v>
      </c>
      <c r="F89" s="3">
        <f>Cleaned_data!O89</f>
        <v>4.5999999999999996</v>
      </c>
      <c r="G89" s="3">
        <v>9</v>
      </c>
      <c r="H89" s="3">
        <v>0</v>
      </c>
      <c r="I89" s="3">
        <f>Dummy_variables!S89</f>
        <v>1</v>
      </c>
      <c r="J89" s="3">
        <f>Dummy_variables!T89</f>
        <v>0</v>
      </c>
      <c r="K89" s="3">
        <f>Dummy_variables!U89</f>
        <v>0</v>
      </c>
      <c r="M89">
        <v>51</v>
      </c>
      <c r="N89">
        <v>618450.25511261483</v>
      </c>
      <c r="O89">
        <v>7222.6048873851541</v>
      </c>
    </row>
    <row r="90" spans="1:15" ht="14.45">
      <c r="A90" s="3">
        <v>711213.46</v>
      </c>
      <c r="B90" s="3">
        <v>50517.94</v>
      </c>
      <c r="C90" s="3">
        <v>7024</v>
      </c>
      <c r="D90" s="3">
        <v>2.9000000000000001E-2</v>
      </c>
      <c r="E90" s="3">
        <v>79.2</v>
      </c>
      <c r="F90" s="3">
        <f>Cleaned_data!O90</f>
        <v>4.0999999999999996</v>
      </c>
      <c r="G90" s="3">
        <v>18</v>
      </c>
      <c r="H90" s="3">
        <v>1</v>
      </c>
      <c r="I90" s="3">
        <f>Dummy_variables!S90</f>
        <v>0</v>
      </c>
      <c r="J90" s="3">
        <f>Dummy_variables!T90</f>
        <v>1</v>
      </c>
      <c r="K90" s="3">
        <f>Dummy_variables!U90</f>
        <v>0</v>
      </c>
      <c r="M90">
        <v>52</v>
      </c>
      <c r="N90">
        <v>757207.10637739638</v>
      </c>
      <c r="O90">
        <v>16608.033622603631</v>
      </c>
    </row>
    <row r="91" spans="1:15" ht="14.45">
      <c r="A91" s="3">
        <v>627171.9</v>
      </c>
      <c r="B91" s="3">
        <v>141540.29</v>
      </c>
      <c r="C91" s="3">
        <v>5400</v>
      </c>
      <c r="D91" s="3">
        <v>1.2999999999999999E-2</v>
      </c>
      <c r="E91" s="3">
        <v>87</v>
      </c>
      <c r="F91" s="3">
        <f>Cleaned_data!O91</f>
        <v>4.5</v>
      </c>
      <c r="G91" s="3">
        <v>12</v>
      </c>
      <c r="H91" s="3">
        <v>0</v>
      </c>
      <c r="I91" s="3">
        <f>Dummy_variables!S91</f>
        <v>0</v>
      </c>
      <c r="J91" s="3">
        <f>Dummy_variables!T91</f>
        <v>1</v>
      </c>
      <c r="K91" s="3">
        <f>Dummy_variables!U91</f>
        <v>0</v>
      </c>
      <c r="M91">
        <v>53</v>
      </c>
      <c r="N91">
        <v>558075.62036137609</v>
      </c>
      <c r="O91">
        <v>-94541.370361376088</v>
      </c>
    </row>
    <row r="92" spans="1:15" ht="14.45">
      <c r="A92" s="3">
        <v>739852.58</v>
      </c>
      <c r="B92" s="3">
        <v>82116.19</v>
      </c>
      <c r="C92" s="3">
        <v>5988</v>
      </c>
      <c r="D92" s="3">
        <v>0.04</v>
      </c>
      <c r="E92" s="3">
        <v>91.8</v>
      </c>
      <c r="F92" s="3">
        <f>Cleaned_data!O92</f>
        <v>4.7</v>
      </c>
      <c r="G92" s="3">
        <v>17</v>
      </c>
      <c r="H92" s="3">
        <v>0</v>
      </c>
      <c r="I92" s="3">
        <f>Dummy_variables!S92</f>
        <v>0</v>
      </c>
      <c r="J92" s="3">
        <f>Dummy_variables!T92</f>
        <v>1</v>
      </c>
      <c r="K92" s="3">
        <f>Dummy_variables!U92</f>
        <v>0</v>
      </c>
      <c r="M92">
        <v>54</v>
      </c>
      <c r="N92">
        <v>707609.67601672537</v>
      </c>
      <c r="O92">
        <v>39068.073983274633</v>
      </c>
    </row>
    <row r="93" spans="1:15" ht="14.45">
      <c r="A93" s="3">
        <v>586307.22</v>
      </c>
      <c r="B93" s="3">
        <v>31207.51</v>
      </c>
      <c r="C93" s="3">
        <v>3701</v>
      </c>
      <c r="D93" s="3">
        <v>4.2999999999999997E-2</v>
      </c>
      <c r="E93" s="3">
        <v>84.7</v>
      </c>
      <c r="F93" s="3">
        <f>Cleaned_data!O93</f>
        <v>4.3</v>
      </c>
      <c r="G93" s="3">
        <v>11</v>
      </c>
      <c r="H93" s="3">
        <v>0</v>
      </c>
      <c r="I93" s="3">
        <f>Dummy_variables!S93</f>
        <v>0</v>
      </c>
      <c r="J93" s="3">
        <f>Dummy_variables!T93</f>
        <v>1</v>
      </c>
      <c r="K93" s="3">
        <f>Dummy_variables!U93</f>
        <v>0</v>
      </c>
      <c r="M93">
        <v>55</v>
      </c>
      <c r="N93">
        <v>679812.31023257808</v>
      </c>
      <c r="O93">
        <v>41040.189767421922</v>
      </c>
    </row>
    <row r="94" spans="1:15" ht="14.45">
      <c r="A94" s="3">
        <v>585937.48</v>
      </c>
      <c r="B94" s="3">
        <v>38966.589999999997</v>
      </c>
      <c r="C94" s="3">
        <v>4509</v>
      </c>
      <c r="D94" s="3">
        <v>0.19400000000000001</v>
      </c>
      <c r="E94" s="3">
        <v>91.1</v>
      </c>
      <c r="F94" s="3">
        <f>Cleaned_data!O94</f>
        <v>4.5999999999999996</v>
      </c>
      <c r="G94" s="3">
        <v>14</v>
      </c>
      <c r="H94" s="3">
        <v>0</v>
      </c>
      <c r="I94" s="3">
        <f>Dummy_variables!S94</f>
        <v>0</v>
      </c>
      <c r="J94" s="3">
        <f>Dummy_variables!T94</f>
        <v>0</v>
      </c>
      <c r="K94" s="3">
        <f>Dummy_variables!U94</f>
        <v>1</v>
      </c>
      <c r="M94">
        <v>56</v>
      </c>
      <c r="N94">
        <v>544075.7517982471</v>
      </c>
      <c r="O94">
        <v>-56610.841798247129</v>
      </c>
    </row>
    <row r="95" spans="1:15" ht="14.45">
      <c r="A95" s="3">
        <v>753473.55</v>
      </c>
      <c r="B95" s="3">
        <v>67439.3</v>
      </c>
      <c r="C95" s="3">
        <v>6477</v>
      </c>
      <c r="D95" s="3">
        <v>0</v>
      </c>
      <c r="E95" s="3">
        <v>90.9</v>
      </c>
      <c r="F95" s="3">
        <f>Cleaned_data!O95</f>
        <v>4.5</v>
      </c>
      <c r="G95" s="3">
        <v>16</v>
      </c>
      <c r="H95" s="3">
        <v>0</v>
      </c>
      <c r="I95" s="3">
        <f>Dummy_variables!S95</f>
        <v>0</v>
      </c>
      <c r="J95" s="3">
        <f>Dummy_variables!T95</f>
        <v>0</v>
      </c>
      <c r="K95" s="3">
        <f>Dummy_variables!U95</f>
        <v>1</v>
      </c>
      <c r="M95">
        <v>57</v>
      </c>
      <c r="N95">
        <v>533084.9415657752</v>
      </c>
      <c r="O95">
        <v>-15035.681565775187</v>
      </c>
    </row>
    <row r="96" spans="1:15" ht="14.45">
      <c r="A96" s="3">
        <v>838250.32</v>
      </c>
      <c r="B96" s="3">
        <v>86421.88</v>
      </c>
      <c r="C96" s="3">
        <v>7970</v>
      </c>
      <c r="D96" s="3">
        <v>7.2999999999999995E-2</v>
      </c>
      <c r="E96" s="3">
        <v>91.3</v>
      </c>
      <c r="F96" s="3">
        <f>Cleaned_data!O96</f>
        <v>5</v>
      </c>
      <c r="G96" s="3">
        <v>17</v>
      </c>
      <c r="H96" s="3">
        <v>0</v>
      </c>
      <c r="I96" s="3">
        <f>Dummy_variables!S96</f>
        <v>0</v>
      </c>
      <c r="J96" s="3">
        <f>Dummy_variables!T96</f>
        <v>0</v>
      </c>
      <c r="K96" s="3">
        <f>Dummy_variables!U96</f>
        <v>1</v>
      </c>
      <c r="M96">
        <v>58</v>
      </c>
      <c r="N96">
        <v>528759.50026742928</v>
      </c>
      <c r="O96">
        <v>-28461.020267429296</v>
      </c>
    </row>
    <row r="97" spans="1:15" ht="14.45">
      <c r="A97" s="3">
        <v>607898.12</v>
      </c>
      <c r="B97" s="3">
        <v>9534.65</v>
      </c>
      <c r="C97" s="3">
        <v>6057</v>
      </c>
      <c r="D97" s="3">
        <v>7.3999999999999996E-2</v>
      </c>
      <c r="E97" s="3">
        <v>94.1</v>
      </c>
      <c r="F97" s="3">
        <f>Cleaned_data!O97</f>
        <v>4.5</v>
      </c>
      <c r="G97" s="3">
        <v>15</v>
      </c>
      <c r="H97" s="3">
        <v>0</v>
      </c>
      <c r="I97" s="3">
        <f>Dummy_variables!S97</f>
        <v>0</v>
      </c>
      <c r="J97" s="3">
        <f>Dummy_variables!T97</f>
        <v>0</v>
      </c>
      <c r="K97" s="3">
        <f>Dummy_variables!U97</f>
        <v>1</v>
      </c>
      <c r="M97">
        <v>59</v>
      </c>
      <c r="N97">
        <v>656669.919961037</v>
      </c>
      <c r="O97">
        <v>-39378.769961036975</v>
      </c>
    </row>
    <row r="98" spans="1:15" ht="14.45">
      <c r="A98" s="3">
        <v>691113.62</v>
      </c>
      <c r="B98" s="3">
        <v>61132.07</v>
      </c>
      <c r="C98" s="3">
        <v>6394</v>
      </c>
      <c r="D98" s="3">
        <v>0.16300000000000001</v>
      </c>
      <c r="E98" s="3">
        <v>91</v>
      </c>
      <c r="F98" s="3">
        <f>Cleaned_data!O98</f>
        <v>4.4000000000000004</v>
      </c>
      <c r="G98" s="3">
        <v>19</v>
      </c>
      <c r="H98" s="3">
        <v>0</v>
      </c>
      <c r="I98" s="3">
        <f>Dummy_variables!S98</f>
        <v>0</v>
      </c>
      <c r="J98" s="3">
        <f>Dummy_variables!T98</f>
        <v>1</v>
      </c>
      <c r="K98" s="3">
        <f>Dummy_variables!U98</f>
        <v>0</v>
      </c>
      <c r="M98">
        <v>60</v>
      </c>
      <c r="N98">
        <v>607563.98284895229</v>
      </c>
      <c r="O98">
        <v>-53807.55284895224</v>
      </c>
    </row>
    <row r="99" spans="1:15" ht="14.45">
      <c r="A99" s="3">
        <v>735509.4</v>
      </c>
      <c r="B99" s="3">
        <v>78839.39</v>
      </c>
      <c r="C99" s="3">
        <v>5150</v>
      </c>
      <c r="D99" s="3">
        <v>0.17100000000000001</v>
      </c>
      <c r="E99" s="3">
        <v>85.8</v>
      </c>
      <c r="F99" s="3">
        <f>Cleaned_data!O99</f>
        <v>4.3</v>
      </c>
      <c r="G99" s="3">
        <v>13</v>
      </c>
      <c r="H99" s="3">
        <v>0</v>
      </c>
      <c r="I99" s="3">
        <f>Dummy_variables!S99</f>
        <v>0</v>
      </c>
      <c r="J99" s="3">
        <f>Dummy_variables!T99</f>
        <v>1</v>
      </c>
      <c r="K99" s="3">
        <f>Dummy_variables!U99</f>
        <v>0</v>
      </c>
      <c r="M99">
        <v>61</v>
      </c>
      <c r="N99">
        <v>697033.38152443711</v>
      </c>
      <c r="O99">
        <v>52526.328475562856</v>
      </c>
    </row>
    <row r="100" spans="1:15" ht="14.45">
      <c r="A100" s="3">
        <v>605775.32999999996</v>
      </c>
      <c r="B100" s="3">
        <v>38752.800000000003</v>
      </c>
      <c r="C100" s="3">
        <v>4712</v>
      </c>
      <c r="D100" s="3">
        <v>7.4999999999999997E-2</v>
      </c>
      <c r="E100" s="3">
        <v>89.7</v>
      </c>
      <c r="F100" s="3">
        <f>Cleaned_data!O100</f>
        <v>4.3</v>
      </c>
      <c r="G100" s="3">
        <v>15</v>
      </c>
      <c r="H100" s="3">
        <v>0</v>
      </c>
      <c r="I100" s="3">
        <f>Dummy_variables!S100</f>
        <v>0</v>
      </c>
      <c r="J100" s="3">
        <f>Dummy_variables!T100</f>
        <v>1</v>
      </c>
      <c r="K100" s="3">
        <f>Dummy_variables!U100</f>
        <v>0</v>
      </c>
      <c r="M100">
        <v>62</v>
      </c>
      <c r="N100">
        <v>569503.20592426846</v>
      </c>
      <c r="O100">
        <v>46463.274075731519</v>
      </c>
    </row>
    <row r="101" spans="1:15" ht="14.45">
      <c r="A101" s="3">
        <v>675177.68</v>
      </c>
      <c r="B101" s="3">
        <v>55101.1</v>
      </c>
      <c r="C101" s="3">
        <v>5281</v>
      </c>
      <c r="D101" s="3">
        <v>0.189</v>
      </c>
      <c r="E101" s="3">
        <v>91</v>
      </c>
      <c r="F101" s="3">
        <f>Cleaned_data!O101</f>
        <v>4.4000000000000004</v>
      </c>
      <c r="G101" s="3">
        <v>11</v>
      </c>
      <c r="H101" s="3">
        <v>0</v>
      </c>
      <c r="I101" s="3">
        <f>Dummy_variables!S101</f>
        <v>0</v>
      </c>
      <c r="J101" s="3">
        <f>Dummy_variables!T101</f>
        <v>1</v>
      </c>
      <c r="K101" s="3">
        <f>Dummy_variables!U101</f>
        <v>0</v>
      </c>
      <c r="M101">
        <v>63</v>
      </c>
      <c r="N101">
        <v>570500.32671141613</v>
      </c>
      <c r="O101">
        <v>1510.8732885838253</v>
      </c>
    </row>
    <row r="102" spans="1:15" ht="14.45">
      <c r="A102" s="3">
        <v>635181.35</v>
      </c>
      <c r="B102" s="3">
        <v>53084.76</v>
      </c>
      <c r="C102" s="3">
        <v>3642</v>
      </c>
      <c r="D102" s="3">
        <v>0.15</v>
      </c>
      <c r="E102" s="3">
        <v>91.4</v>
      </c>
      <c r="F102" s="3">
        <f>Cleaned_data!O102</f>
        <v>4.4000000000000004</v>
      </c>
      <c r="G102" s="3">
        <v>12</v>
      </c>
      <c r="H102" s="3">
        <v>0</v>
      </c>
      <c r="I102" s="3">
        <f>Dummy_variables!S102</f>
        <v>0</v>
      </c>
      <c r="J102" s="3">
        <f>Dummy_variables!T102</f>
        <v>1</v>
      </c>
      <c r="K102" s="3">
        <f>Dummy_variables!U102</f>
        <v>0</v>
      </c>
      <c r="M102">
        <v>64</v>
      </c>
      <c r="N102">
        <v>716364.07957535237</v>
      </c>
      <c r="O102">
        <v>45496.110424647573</v>
      </c>
    </row>
    <row r="103" spans="1:15" ht="14.45">
      <c r="A103" s="3">
        <v>586626.93999999994</v>
      </c>
      <c r="B103" s="3">
        <v>63101.59</v>
      </c>
      <c r="C103" s="3">
        <v>4373</v>
      </c>
      <c r="D103" s="3">
        <v>0.17299999999999999</v>
      </c>
      <c r="E103" s="3">
        <v>90.4</v>
      </c>
      <c r="F103" s="3">
        <f>Cleaned_data!O103</f>
        <v>4.7</v>
      </c>
      <c r="G103" s="3">
        <v>14</v>
      </c>
      <c r="H103" s="3">
        <v>0</v>
      </c>
      <c r="I103" s="3">
        <f>Dummy_variables!S103</f>
        <v>0</v>
      </c>
      <c r="J103" s="3">
        <f>Dummy_variables!T103</f>
        <v>1</v>
      </c>
      <c r="K103" s="3">
        <f>Dummy_variables!U103</f>
        <v>0</v>
      </c>
      <c r="M103">
        <v>65</v>
      </c>
      <c r="N103">
        <v>822246.7667667825</v>
      </c>
      <c r="O103">
        <v>-37744.08676678245</v>
      </c>
    </row>
    <row r="104" spans="1:15" ht="14.45">
      <c r="A104" s="3">
        <v>740102.64</v>
      </c>
      <c r="B104" s="3">
        <v>90084.4</v>
      </c>
      <c r="C104" s="3">
        <v>6832</v>
      </c>
      <c r="D104" s="3">
        <v>0.185</v>
      </c>
      <c r="E104" s="3">
        <v>80.5</v>
      </c>
      <c r="F104" s="3">
        <f>Cleaned_data!O104</f>
        <v>4.4000000000000004</v>
      </c>
      <c r="G104" s="3">
        <v>14</v>
      </c>
      <c r="H104" s="3">
        <v>1</v>
      </c>
      <c r="I104" s="3">
        <f>Dummy_variables!S104</f>
        <v>0</v>
      </c>
      <c r="J104" s="3">
        <f>Dummy_variables!T104</f>
        <v>1</v>
      </c>
      <c r="K104" s="3">
        <f>Dummy_variables!U104</f>
        <v>0</v>
      </c>
      <c r="M104">
        <v>66</v>
      </c>
      <c r="N104">
        <v>729389.91419750964</v>
      </c>
      <c r="O104">
        <v>-12248.364197509596</v>
      </c>
    </row>
    <row r="105" spans="1:15" ht="14.45">
      <c r="A105" s="3">
        <v>625514.04</v>
      </c>
      <c r="B105" s="3">
        <v>32266.639999999999</v>
      </c>
      <c r="C105" s="3">
        <v>2414</v>
      </c>
      <c r="D105" s="3">
        <v>0.08</v>
      </c>
      <c r="E105" s="3">
        <v>92.1</v>
      </c>
      <c r="F105" s="3">
        <f>Cleaned_data!O105</f>
        <v>5</v>
      </c>
      <c r="G105" s="3">
        <v>7</v>
      </c>
      <c r="H105" s="3">
        <v>0</v>
      </c>
      <c r="I105" s="3">
        <f>Dummy_variables!S105</f>
        <v>0</v>
      </c>
      <c r="J105" s="3">
        <f>Dummy_variables!T105</f>
        <v>1</v>
      </c>
      <c r="K105" s="3">
        <f>Dummy_variables!U105</f>
        <v>0</v>
      </c>
      <c r="M105">
        <v>67</v>
      </c>
      <c r="N105">
        <v>846187.36778950645</v>
      </c>
      <c r="O105">
        <v>-160808.28778950649</v>
      </c>
    </row>
    <row r="106" spans="1:15" ht="14.45">
      <c r="A106" s="3">
        <v>727227.2</v>
      </c>
      <c r="B106" s="3">
        <v>57919.07</v>
      </c>
      <c r="C106" s="3">
        <v>7374</v>
      </c>
      <c r="D106" s="3">
        <v>0.10299999999999999</v>
      </c>
      <c r="E106" s="3">
        <v>82.3</v>
      </c>
      <c r="F106" s="3">
        <f>Cleaned_data!O106</f>
        <v>2.9</v>
      </c>
      <c r="G106" s="3">
        <v>21</v>
      </c>
      <c r="H106" s="3">
        <v>0</v>
      </c>
      <c r="I106" s="3">
        <f>Dummy_variables!S106</f>
        <v>1</v>
      </c>
      <c r="J106" s="3">
        <f>Dummy_variables!T106</f>
        <v>0</v>
      </c>
      <c r="K106" s="3">
        <f>Dummy_variables!U106</f>
        <v>0</v>
      </c>
      <c r="M106">
        <v>68</v>
      </c>
      <c r="N106">
        <v>721337.78792959312</v>
      </c>
      <c r="O106">
        <v>19158.862070406904</v>
      </c>
    </row>
    <row r="107" spans="1:15" ht="14.45">
      <c r="A107" s="3">
        <v>783797.89</v>
      </c>
      <c r="B107" s="3">
        <v>74679.350000000006</v>
      </c>
      <c r="C107" s="3">
        <v>8739</v>
      </c>
      <c r="D107" s="3">
        <v>5.6000000000000001E-2</v>
      </c>
      <c r="E107" s="3">
        <v>91.8</v>
      </c>
      <c r="F107" s="3">
        <f>Cleaned_data!O107</f>
        <v>3</v>
      </c>
      <c r="G107" s="3">
        <v>21</v>
      </c>
      <c r="H107" s="3">
        <v>0</v>
      </c>
      <c r="I107" s="3">
        <f>Dummy_variables!S107</f>
        <v>1</v>
      </c>
      <c r="J107" s="3">
        <f>Dummy_variables!T107</f>
        <v>0</v>
      </c>
      <c r="K107" s="3">
        <f>Dummy_variables!U107</f>
        <v>0</v>
      </c>
      <c r="M107">
        <v>69</v>
      </c>
      <c r="N107">
        <v>606190.19281990908</v>
      </c>
      <c r="O107">
        <v>55736.947180090938</v>
      </c>
    </row>
    <row r="108" spans="1:15" ht="14.45">
      <c r="A108" s="3">
        <v>795153.84</v>
      </c>
      <c r="B108" s="3">
        <v>64294.23</v>
      </c>
      <c r="C108" s="3">
        <v>6992</v>
      </c>
      <c r="D108" s="3">
        <v>0.13300000000000001</v>
      </c>
      <c r="E108" s="3">
        <v>94.1</v>
      </c>
      <c r="F108" s="3">
        <f>Cleaned_data!O108</f>
        <v>3</v>
      </c>
      <c r="G108" s="3">
        <v>14</v>
      </c>
      <c r="H108" s="3">
        <v>0</v>
      </c>
      <c r="I108" s="3">
        <f>Dummy_variables!S108</f>
        <v>1</v>
      </c>
      <c r="J108" s="3">
        <f>Dummy_variables!T108</f>
        <v>0</v>
      </c>
      <c r="K108" s="3">
        <f>Dummy_variables!U108</f>
        <v>0</v>
      </c>
      <c r="M108">
        <v>70</v>
      </c>
      <c r="N108">
        <v>505616.19069623947</v>
      </c>
      <c r="O108">
        <v>-26565.690696239471</v>
      </c>
    </row>
    <row r="109" spans="1:15" ht="14.45">
      <c r="A109" s="3">
        <v>665594.93999999994</v>
      </c>
      <c r="B109" s="3">
        <v>31042.03</v>
      </c>
      <c r="C109" s="3">
        <v>7107</v>
      </c>
      <c r="D109" s="3">
        <v>5.0999999999999997E-2</v>
      </c>
      <c r="E109" s="3">
        <v>87</v>
      </c>
      <c r="F109" s="3">
        <f>Cleaned_data!O109</f>
        <v>3.2</v>
      </c>
      <c r="G109" s="3">
        <v>15</v>
      </c>
      <c r="H109" s="3">
        <v>0</v>
      </c>
      <c r="I109" s="3">
        <f>Dummy_variables!S109</f>
        <v>1</v>
      </c>
      <c r="J109" s="3">
        <f>Dummy_variables!T109</f>
        <v>0</v>
      </c>
      <c r="K109" s="3">
        <f>Dummy_variables!U109</f>
        <v>0</v>
      </c>
      <c r="M109">
        <v>71</v>
      </c>
      <c r="N109">
        <v>582607.46292017447</v>
      </c>
      <c r="O109">
        <v>22416.407079825527</v>
      </c>
    </row>
    <row r="110" spans="1:15" ht="14.45">
      <c r="A110" s="3">
        <v>709478.39</v>
      </c>
      <c r="B110" s="3">
        <v>75265.02</v>
      </c>
      <c r="C110" s="3">
        <v>6975</v>
      </c>
      <c r="D110" s="3">
        <v>0.157</v>
      </c>
      <c r="E110" s="3">
        <v>73.8</v>
      </c>
      <c r="F110" s="3">
        <f>Cleaned_data!O110</f>
        <v>3.8</v>
      </c>
      <c r="G110" s="3">
        <v>20</v>
      </c>
      <c r="H110" s="3">
        <v>1</v>
      </c>
      <c r="I110" s="3">
        <f>Dummy_variables!S110</f>
        <v>0</v>
      </c>
      <c r="J110" s="3">
        <f>Dummy_variables!T110</f>
        <v>1</v>
      </c>
      <c r="K110" s="3">
        <f>Dummy_variables!U110</f>
        <v>0</v>
      </c>
      <c r="M110">
        <v>72</v>
      </c>
      <c r="N110">
        <v>637317.26332254673</v>
      </c>
      <c r="O110">
        <v>37456.826677453239</v>
      </c>
    </row>
    <row r="111" spans="1:15" ht="14.45">
      <c r="A111" s="3">
        <v>664162.49</v>
      </c>
      <c r="B111" s="3">
        <v>69411.7</v>
      </c>
      <c r="C111" s="3">
        <v>5493</v>
      </c>
      <c r="D111" s="3">
        <v>0.29199999999999998</v>
      </c>
      <c r="E111" s="3">
        <v>86.5</v>
      </c>
      <c r="F111" s="3">
        <f>Cleaned_data!O111</f>
        <v>3.8</v>
      </c>
      <c r="G111" s="3">
        <v>13</v>
      </c>
      <c r="H111" s="3">
        <v>0</v>
      </c>
      <c r="I111" s="3">
        <f>Dummy_variables!S111</f>
        <v>0</v>
      </c>
      <c r="J111" s="3">
        <f>Dummy_variables!T111</f>
        <v>1</v>
      </c>
      <c r="K111" s="3">
        <f>Dummy_variables!U111</f>
        <v>0</v>
      </c>
      <c r="M111">
        <v>73</v>
      </c>
      <c r="N111">
        <v>581866.50246096286</v>
      </c>
      <c r="O111">
        <v>34202.907539037173</v>
      </c>
    </row>
    <row r="112" spans="1:15" ht="14.45">
      <c r="A112" s="3">
        <v>633494.21</v>
      </c>
      <c r="B112" s="3">
        <v>51056.15</v>
      </c>
      <c r="C112" s="3">
        <v>5686</v>
      </c>
      <c r="D112" s="3">
        <v>8.8999999999999996E-2</v>
      </c>
      <c r="E112" s="3">
        <v>89.9</v>
      </c>
      <c r="F112" s="3">
        <f>Cleaned_data!O112</f>
        <v>4.2</v>
      </c>
      <c r="G112" s="3">
        <v>13</v>
      </c>
      <c r="H112" s="3">
        <v>0</v>
      </c>
      <c r="I112" s="3">
        <f>Dummy_variables!S112</f>
        <v>0</v>
      </c>
      <c r="J112" s="3">
        <f>Dummy_variables!T112</f>
        <v>1</v>
      </c>
      <c r="K112" s="3">
        <f>Dummy_variables!U112</f>
        <v>0</v>
      </c>
      <c r="M112">
        <v>74</v>
      </c>
      <c r="N112">
        <v>703223.63378487795</v>
      </c>
      <c r="O112">
        <v>-72393.693784878007</v>
      </c>
    </row>
    <row r="113" spans="1:15" ht="14.45">
      <c r="A113" s="3">
        <v>713611.16</v>
      </c>
      <c r="B113" s="3">
        <v>52758.01</v>
      </c>
      <c r="C113" s="3">
        <v>4063</v>
      </c>
      <c r="D113" s="3">
        <v>5.7000000000000002E-2</v>
      </c>
      <c r="E113" s="3">
        <v>91.7</v>
      </c>
      <c r="F113" s="3">
        <f>Cleaned_data!O113</f>
        <v>3.5</v>
      </c>
      <c r="G113" s="3">
        <v>12</v>
      </c>
      <c r="H113" s="3">
        <v>0</v>
      </c>
      <c r="I113" s="3">
        <f>Dummy_variables!S113</f>
        <v>0</v>
      </c>
      <c r="J113" s="3">
        <f>Dummy_variables!T113</f>
        <v>1</v>
      </c>
      <c r="K113" s="3">
        <f>Dummy_variables!U113</f>
        <v>0</v>
      </c>
      <c r="M113">
        <v>75</v>
      </c>
      <c r="N113">
        <v>724633.51035069523</v>
      </c>
      <c r="O113">
        <v>63454.169649304822</v>
      </c>
    </row>
    <row r="114" spans="1:15" ht="14.45">
      <c r="A114" s="3">
        <v>778397.97</v>
      </c>
      <c r="B114" s="3">
        <v>61426.04</v>
      </c>
      <c r="C114" s="3">
        <v>8966</v>
      </c>
      <c r="D114" s="3">
        <v>0.17299999999999999</v>
      </c>
      <c r="E114" s="3">
        <v>76.400000000000006</v>
      </c>
      <c r="F114" s="3">
        <f>Cleaned_data!O114</f>
        <v>3.1</v>
      </c>
      <c r="G114" s="3">
        <v>22</v>
      </c>
      <c r="H114" s="3">
        <v>0</v>
      </c>
      <c r="I114" s="3">
        <f>Dummy_variables!S114</f>
        <v>0</v>
      </c>
      <c r="J114" s="3">
        <f>Dummy_variables!T114</f>
        <v>1</v>
      </c>
      <c r="K114" s="3">
        <f>Dummy_variables!U114</f>
        <v>0</v>
      </c>
      <c r="M114">
        <v>76</v>
      </c>
      <c r="N114">
        <v>713890.71204392065</v>
      </c>
      <c r="O114">
        <v>-33050.352043920662</v>
      </c>
    </row>
    <row r="115" spans="1:15" ht="14.45">
      <c r="A115" s="3">
        <v>873380.02</v>
      </c>
      <c r="B115" s="3">
        <v>80176.34</v>
      </c>
      <c r="C115" s="3">
        <v>9489</v>
      </c>
      <c r="D115" s="3">
        <v>0.14199999999999999</v>
      </c>
      <c r="E115" s="3">
        <v>94.3</v>
      </c>
      <c r="F115" s="3">
        <f>Cleaned_data!O115</f>
        <v>3.5</v>
      </c>
      <c r="G115" s="3">
        <v>22</v>
      </c>
      <c r="H115" s="3">
        <v>0</v>
      </c>
      <c r="I115" s="3">
        <f>Dummy_variables!S115</f>
        <v>0</v>
      </c>
      <c r="J115" s="3">
        <f>Dummy_variables!T115</f>
        <v>1</v>
      </c>
      <c r="K115" s="3">
        <f>Dummy_variables!U115</f>
        <v>0</v>
      </c>
      <c r="M115">
        <v>77</v>
      </c>
      <c r="N115">
        <v>659558.91821107757</v>
      </c>
      <c r="O115">
        <v>-15901.448211077601</v>
      </c>
    </row>
    <row r="116" spans="1:15" ht="14.45">
      <c r="A116" s="3">
        <v>697287.9</v>
      </c>
      <c r="B116" s="3">
        <v>33605.18</v>
      </c>
      <c r="C116" s="3">
        <v>9225</v>
      </c>
      <c r="D116" s="3">
        <v>0.159</v>
      </c>
      <c r="E116" s="3">
        <v>88.4</v>
      </c>
      <c r="F116" s="3">
        <f>Cleaned_data!O116</f>
        <v>2.8</v>
      </c>
      <c r="G116" s="3">
        <v>23</v>
      </c>
      <c r="H116" s="3">
        <v>0</v>
      </c>
      <c r="I116" s="3">
        <f>Dummy_variables!S116</f>
        <v>0</v>
      </c>
      <c r="J116" s="3">
        <f>Dummy_variables!T116</f>
        <v>1</v>
      </c>
      <c r="K116" s="3">
        <f>Dummy_variables!U116</f>
        <v>0</v>
      </c>
      <c r="M116">
        <v>78</v>
      </c>
      <c r="N116">
        <v>632618.20419257565</v>
      </c>
      <c r="O116">
        <v>58494.395807424327</v>
      </c>
    </row>
    <row r="117" spans="1:15" ht="14.45">
      <c r="A117" s="3">
        <v>718074.79</v>
      </c>
      <c r="B117" s="3">
        <v>25990.54</v>
      </c>
      <c r="C117" s="3">
        <v>9249</v>
      </c>
      <c r="D117" s="3">
        <v>0.13900000000000001</v>
      </c>
      <c r="E117" s="3">
        <v>92.5</v>
      </c>
      <c r="F117" s="3">
        <f>Cleaned_data!O117</f>
        <v>3.3</v>
      </c>
      <c r="G117" s="3">
        <v>23</v>
      </c>
      <c r="H117" s="3">
        <v>0</v>
      </c>
      <c r="I117" s="3">
        <f>Dummy_variables!S117</f>
        <v>0</v>
      </c>
      <c r="J117" s="3">
        <f>Dummy_variables!T117</f>
        <v>1</v>
      </c>
      <c r="K117" s="3">
        <f>Dummy_variables!U117</f>
        <v>0</v>
      </c>
      <c r="M117">
        <v>79</v>
      </c>
      <c r="N117">
        <v>708416.85432860348</v>
      </c>
      <c r="O117">
        <v>68505.315671396558</v>
      </c>
    </row>
    <row r="118" spans="1:15" ht="14.45">
      <c r="A118" s="3">
        <v>714942.43</v>
      </c>
      <c r="B118" s="3">
        <v>43685.14</v>
      </c>
      <c r="C118" s="3">
        <v>7821</v>
      </c>
      <c r="D118" s="3">
        <v>0.19</v>
      </c>
      <c r="E118" s="3">
        <v>91</v>
      </c>
      <c r="F118" s="3">
        <f>Cleaned_data!O118</f>
        <v>4.7</v>
      </c>
      <c r="G118" s="3">
        <v>17</v>
      </c>
      <c r="H118" s="3">
        <v>1</v>
      </c>
      <c r="I118" s="3">
        <f>Dummy_variables!S118</f>
        <v>0</v>
      </c>
      <c r="J118" s="3">
        <f>Dummy_variables!T118</f>
        <v>0</v>
      </c>
      <c r="K118" s="3">
        <f>Dummy_variables!U118</f>
        <v>1</v>
      </c>
      <c r="M118">
        <v>80</v>
      </c>
      <c r="N118">
        <v>643292.45431365527</v>
      </c>
      <c r="O118">
        <v>-6731.1143136553001</v>
      </c>
    </row>
    <row r="119" spans="1:15" ht="14.45">
      <c r="A119" s="3">
        <v>820519.04</v>
      </c>
      <c r="B119" s="3">
        <v>57360.01</v>
      </c>
      <c r="C119" s="3">
        <v>8434</v>
      </c>
      <c r="D119" s="3">
        <v>0.151</v>
      </c>
      <c r="E119" s="3">
        <v>84.1</v>
      </c>
      <c r="F119" s="3">
        <f>Cleaned_data!O119</f>
        <v>4.7</v>
      </c>
      <c r="G119" s="3">
        <v>19</v>
      </c>
      <c r="H119" s="3">
        <v>0</v>
      </c>
      <c r="I119" s="3">
        <f>Dummy_variables!S119</f>
        <v>0</v>
      </c>
      <c r="J119" s="3">
        <f>Dummy_variables!T119</f>
        <v>0</v>
      </c>
      <c r="K119" s="3">
        <f>Dummy_variables!U119</f>
        <v>1</v>
      </c>
      <c r="M119">
        <v>81</v>
      </c>
      <c r="N119">
        <v>644959.66946348234</v>
      </c>
      <c r="O119">
        <v>-23590.089463482378</v>
      </c>
    </row>
    <row r="120" spans="1:15" ht="14.45">
      <c r="A120" s="3">
        <v>684217.32</v>
      </c>
      <c r="B120" s="3">
        <v>42415.47</v>
      </c>
      <c r="C120" s="3">
        <v>8512</v>
      </c>
      <c r="D120" s="3">
        <v>0.13300000000000001</v>
      </c>
      <c r="E120" s="3">
        <v>96.8</v>
      </c>
      <c r="F120" s="3">
        <f>Cleaned_data!O120</f>
        <v>4.5999999999999996</v>
      </c>
      <c r="G120" s="3">
        <v>18</v>
      </c>
      <c r="H120" s="3">
        <v>0</v>
      </c>
      <c r="I120" s="3">
        <f>Dummy_variables!S120</f>
        <v>0</v>
      </c>
      <c r="J120" s="3">
        <f>Dummy_variables!T120</f>
        <v>0</v>
      </c>
      <c r="K120" s="3">
        <f>Dummy_variables!U120</f>
        <v>1</v>
      </c>
      <c r="M120">
        <v>82</v>
      </c>
      <c r="N120">
        <v>630557.32414547727</v>
      </c>
      <c r="O120">
        <v>51650.685854522744</v>
      </c>
    </row>
    <row r="121" spans="1:15" ht="14.45">
      <c r="A121" s="3">
        <v>735480.19</v>
      </c>
      <c r="B121" s="3">
        <v>54968.98</v>
      </c>
      <c r="C121" s="3">
        <v>7816</v>
      </c>
      <c r="D121" s="3">
        <v>0.23200000000000001</v>
      </c>
      <c r="E121" s="3">
        <v>95.7</v>
      </c>
      <c r="F121" s="3">
        <f>Cleaned_data!O121</f>
        <v>4.7</v>
      </c>
      <c r="G121" s="3">
        <v>19</v>
      </c>
      <c r="H121" s="3">
        <v>0</v>
      </c>
      <c r="I121" s="3">
        <f>Dummy_variables!S121</f>
        <v>0</v>
      </c>
      <c r="J121" s="3">
        <f>Dummy_variables!T121</f>
        <v>0</v>
      </c>
      <c r="K121" s="3">
        <f>Dummy_variables!U121</f>
        <v>1</v>
      </c>
      <c r="M121">
        <v>83</v>
      </c>
      <c r="N121">
        <v>658902.69545097183</v>
      </c>
      <c r="O121">
        <v>68339.164549028152</v>
      </c>
    </row>
    <row r="122" spans="1:15" ht="14.45">
      <c r="A122" s="3">
        <v>509484.81</v>
      </c>
      <c r="B122" s="3">
        <v>43896.13</v>
      </c>
      <c r="C122" s="3">
        <v>3853</v>
      </c>
      <c r="D122" s="3">
        <v>8.7999999999999995E-2</v>
      </c>
      <c r="E122" s="3">
        <v>83</v>
      </c>
      <c r="F122" s="3">
        <f>Cleaned_data!O122</f>
        <v>4.4000000000000004</v>
      </c>
      <c r="G122" s="3">
        <v>13</v>
      </c>
      <c r="H122" s="3">
        <v>0</v>
      </c>
      <c r="I122" s="3">
        <f>Dummy_variables!S122</f>
        <v>1</v>
      </c>
      <c r="J122" s="3">
        <f>Dummy_variables!T122</f>
        <v>0</v>
      </c>
      <c r="K122" s="3">
        <f>Dummy_variables!U122</f>
        <v>0</v>
      </c>
      <c r="M122">
        <v>84</v>
      </c>
      <c r="N122">
        <v>552212.75119107589</v>
      </c>
      <c r="O122">
        <v>16888.028808924137</v>
      </c>
    </row>
    <row r="123" spans="1:15" ht="14.45">
      <c r="A123" s="3">
        <v>654317.09</v>
      </c>
      <c r="B123" s="3">
        <v>83044.17</v>
      </c>
      <c r="C123" s="3">
        <v>3694</v>
      </c>
      <c r="D123" s="3">
        <v>0</v>
      </c>
      <c r="E123" s="3">
        <v>89.4</v>
      </c>
      <c r="F123" s="3">
        <f>Cleaned_data!O123</f>
        <v>3.7</v>
      </c>
      <c r="G123" s="3">
        <v>14</v>
      </c>
      <c r="H123" s="3">
        <v>0</v>
      </c>
      <c r="I123" s="3">
        <f>Dummy_variables!S123</f>
        <v>1</v>
      </c>
      <c r="J123" s="3">
        <f>Dummy_variables!T123</f>
        <v>0</v>
      </c>
      <c r="K123" s="3">
        <f>Dummy_variables!U123</f>
        <v>0</v>
      </c>
      <c r="M123">
        <v>85</v>
      </c>
      <c r="N123">
        <v>563728.61537513533</v>
      </c>
      <c r="O123">
        <v>10707.67462486471</v>
      </c>
    </row>
    <row r="124" spans="1:15" ht="14.45">
      <c r="A124" s="3">
        <v>557487.26</v>
      </c>
      <c r="B124" s="3">
        <v>48396.13</v>
      </c>
      <c r="C124" s="3">
        <v>4423</v>
      </c>
      <c r="D124" s="3">
        <v>6.9000000000000006E-2</v>
      </c>
      <c r="E124" s="3">
        <v>85.7</v>
      </c>
      <c r="F124" s="3">
        <f>Cleaned_data!O124</f>
        <v>3.9</v>
      </c>
      <c r="G124" s="3">
        <v>15</v>
      </c>
      <c r="H124" s="3">
        <v>0</v>
      </c>
      <c r="I124" s="3">
        <f>Dummy_variables!S124</f>
        <v>1</v>
      </c>
      <c r="J124" s="3">
        <f>Dummy_variables!T124</f>
        <v>0</v>
      </c>
      <c r="K124" s="3">
        <f>Dummy_variables!U124</f>
        <v>0</v>
      </c>
      <c r="M124">
        <v>86</v>
      </c>
      <c r="N124">
        <v>637544.24567370629</v>
      </c>
      <c r="O124">
        <v>-25777.525673706317</v>
      </c>
    </row>
    <row r="125" spans="1:15" ht="14.45">
      <c r="A125" s="3">
        <v>441275.42</v>
      </c>
      <c r="B125" s="3">
        <v>19063.48</v>
      </c>
      <c r="C125" s="3">
        <v>1906</v>
      </c>
      <c r="D125" s="3">
        <v>0.216</v>
      </c>
      <c r="E125" s="3">
        <v>97.8</v>
      </c>
      <c r="F125" s="3">
        <f>Cleaned_data!O125</f>
        <v>4.4000000000000004</v>
      </c>
      <c r="G125" s="3">
        <v>10</v>
      </c>
      <c r="H125" s="3">
        <v>0</v>
      </c>
      <c r="I125" s="3">
        <f>Dummy_variables!S125</f>
        <v>1</v>
      </c>
      <c r="J125" s="3">
        <f>Dummy_variables!T125</f>
        <v>0</v>
      </c>
      <c r="K125" s="3">
        <f>Dummy_variables!U125</f>
        <v>0</v>
      </c>
      <c r="M125">
        <v>87</v>
      </c>
      <c r="N125">
        <v>623620.04062486498</v>
      </c>
      <c r="O125">
        <v>-9023.7206248650327</v>
      </c>
    </row>
    <row r="126" spans="1:15" ht="14.45">
      <c r="A126" s="3">
        <v>914544.17</v>
      </c>
      <c r="B126" s="3">
        <v>61541.21</v>
      </c>
      <c r="C126" s="3">
        <v>10396</v>
      </c>
      <c r="D126" s="3">
        <v>0.123</v>
      </c>
      <c r="E126" s="3">
        <v>88.1</v>
      </c>
      <c r="F126" s="3">
        <f>Cleaned_data!O126</f>
        <v>4.8</v>
      </c>
      <c r="G126" s="3">
        <v>25</v>
      </c>
      <c r="H126" s="3">
        <v>1</v>
      </c>
      <c r="I126" s="3">
        <f>Dummy_variables!S126</f>
        <v>1</v>
      </c>
      <c r="J126" s="3">
        <f>Dummy_variables!T126</f>
        <v>0</v>
      </c>
      <c r="K126" s="3">
        <f>Dummy_variables!U126</f>
        <v>0</v>
      </c>
      <c r="M126">
        <v>88</v>
      </c>
      <c r="N126">
        <v>468823.20653752337</v>
      </c>
      <c r="O126">
        <v>-18111.286537523381</v>
      </c>
    </row>
    <row r="127" spans="1:15" ht="14.45">
      <c r="A127" s="3">
        <v>842439.67</v>
      </c>
      <c r="B127" s="3">
        <v>44747</v>
      </c>
      <c r="C127" s="3">
        <v>11076</v>
      </c>
      <c r="D127" s="3">
        <v>0.17599999999999999</v>
      </c>
      <c r="E127" s="3">
        <v>98.3</v>
      </c>
      <c r="F127" s="3">
        <f>Cleaned_data!O127</f>
        <v>4.4000000000000004</v>
      </c>
      <c r="G127" s="3">
        <v>27</v>
      </c>
      <c r="H127" s="3">
        <v>0</v>
      </c>
      <c r="I127" s="3">
        <f>Dummy_variables!S127</f>
        <v>1</v>
      </c>
      <c r="J127" s="3">
        <f>Dummy_variables!T127</f>
        <v>0</v>
      </c>
      <c r="K127" s="3">
        <f>Dummy_variables!U127</f>
        <v>0</v>
      </c>
      <c r="M127">
        <v>89</v>
      </c>
      <c r="N127">
        <v>691361.40403069451</v>
      </c>
      <c r="O127">
        <v>19852.055969305453</v>
      </c>
    </row>
    <row r="128" spans="1:15" ht="14.45">
      <c r="A128" s="3">
        <v>842157.92</v>
      </c>
      <c r="B128" s="3">
        <v>56517.9</v>
      </c>
      <c r="C128" s="3">
        <v>9574</v>
      </c>
      <c r="D128" s="3">
        <v>0.20399999999999999</v>
      </c>
      <c r="E128" s="3">
        <v>88.2</v>
      </c>
      <c r="F128" s="3">
        <f>Cleaned_data!O128</f>
        <v>4.9000000000000004</v>
      </c>
      <c r="G128" s="3">
        <v>20</v>
      </c>
      <c r="H128" s="3">
        <v>1</v>
      </c>
      <c r="I128" s="3">
        <f>Dummy_variables!S128</f>
        <v>1</v>
      </c>
      <c r="J128" s="3">
        <f>Dummy_variables!T128</f>
        <v>0</v>
      </c>
      <c r="K128" s="3">
        <f>Dummy_variables!U128</f>
        <v>0</v>
      </c>
      <c r="M128">
        <v>90</v>
      </c>
      <c r="N128">
        <v>753975.25021207868</v>
      </c>
      <c r="O128">
        <v>-126803.35021207866</v>
      </c>
    </row>
    <row r="129" spans="1:15" ht="14.45">
      <c r="A129" s="3">
        <v>697155.3</v>
      </c>
      <c r="B129" s="3">
        <v>37828.5</v>
      </c>
      <c r="C129" s="3">
        <v>8221</v>
      </c>
      <c r="D129" s="3">
        <v>9.6000000000000002E-2</v>
      </c>
      <c r="E129" s="3">
        <v>81.5</v>
      </c>
      <c r="F129" s="3">
        <f>Cleaned_data!O129</f>
        <v>4.8</v>
      </c>
      <c r="G129" s="3">
        <v>19</v>
      </c>
      <c r="H129" s="3">
        <v>0</v>
      </c>
      <c r="I129" s="3">
        <f>Dummy_variables!S129</f>
        <v>1</v>
      </c>
      <c r="J129" s="3">
        <f>Dummy_variables!T129</f>
        <v>0</v>
      </c>
      <c r="K129" s="3">
        <f>Dummy_variables!U129</f>
        <v>0</v>
      </c>
      <c r="M129">
        <v>91</v>
      </c>
      <c r="N129">
        <v>732881.72429088212</v>
      </c>
      <c r="O129">
        <v>6970.8557091178373</v>
      </c>
    </row>
    <row r="130" spans="1:15" ht="14.45">
      <c r="A130" s="3">
        <v>849018.3</v>
      </c>
      <c r="B130" s="3">
        <v>66250.53</v>
      </c>
      <c r="C130" s="3">
        <v>10618</v>
      </c>
      <c r="D130" s="3">
        <v>0.14199999999999999</v>
      </c>
      <c r="E130" s="3">
        <v>88.3</v>
      </c>
      <c r="F130" s="3">
        <f>Cleaned_data!O130</f>
        <v>4.4000000000000004</v>
      </c>
      <c r="G130" s="3">
        <v>27</v>
      </c>
      <c r="H130" s="3">
        <v>1</v>
      </c>
      <c r="I130" s="3">
        <f>Dummy_variables!S130</f>
        <v>1</v>
      </c>
      <c r="J130" s="3">
        <f>Dummy_variables!T130</f>
        <v>0</v>
      </c>
      <c r="K130" s="3">
        <f>Dummy_variables!U130</f>
        <v>0</v>
      </c>
      <c r="M130">
        <v>92</v>
      </c>
      <c r="N130">
        <v>563362.294488049</v>
      </c>
      <c r="O130">
        <v>22944.925511950976</v>
      </c>
    </row>
    <row r="131" spans="1:15" ht="14.45">
      <c r="A131" s="3">
        <v>801830.35</v>
      </c>
      <c r="B131" s="3">
        <v>68410.929999999993</v>
      </c>
      <c r="C131" s="3">
        <v>10596</v>
      </c>
      <c r="D131" s="3">
        <v>0.20699999999999999</v>
      </c>
      <c r="E131" s="3">
        <v>81.2</v>
      </c>
      <c r="F131" s="3">
        <f>Cleaned_data!O131</f>
        <v>4</v>
      </c>
      <c r="G131" s="3">
        <v>25</v>
      </c>
      <c r="H131" s="3">
        <v>0</v>
      </c>
      <c r="I131" s="3">
        <f>Dummy_variables!S131</f>
        <v>1</v>
      </c>
      <c r="J131" s="3">
        <f>Dummy_variables!T131</f>
        <v>0</v>
      </c>
      <c r="K131" s="3">
        <f>Dummy_variables!U131</f>
        <v>0</v>
      </c>
      <c r="M131">
        <v>93</v>
      </c>
      <c r="N131">
        <v>587756.43190087483</v>
      </c>
      <c r="O131">
        <v>-1818.9519008748466</v>
      </c>
    </row>
    <row r="132" spans="1:15" ht="14.45">
      <c r="A132" s="3">
        <v>725235.28</v>
      </c>
      <c r="B132" s="3">
        <v>50735.63</v>
      </c>
      <c r="C132" s="3">
        <v>9619</v>
      </c>
      <c r="D132" s="3">
        <v>0.14399999999999999</v>
      </c>
      <c r="E132" s="3">
        <v>93.8</v>
      </c>
      <c r="F132" s="3">
        <f>Cleaned_data!O132</f>
        <v>4.5</v>
      </c>
      <c r="G132" s="3">
        <v>19</v>
      </c>
      <c r="H132" s="3">
        <v>1</v>
      </c>
      <c r="I132" s="3">
        <f>Dummy_variables!S132</f>
        <v>1</v>
      </c>
      <c r="J132" s="3">
        <f>Dummy_variables!T132</f>
        <v>0</v>
      </c>
      <c r="K132" s="3">
        <f>Dummy_variables!U132</f>
        <v>0</v>
      </c>
      <c r="M132">
        <v>94</v>
      </c>
      <c r="N132">
        <v>694483.46084094525</v>
      </c>
      <c r="O132">
        <v>58990.089159054798</v>
      </c>
    </row>
    <row r="133" spans="1:15" ht="14.45">
      <c r="A133" s="3">
        <v>811452.72</v>
      </c>
      <c r="B133" s="3">
        <v>66455.8</v>
      </c>
      <c r="C133" s="3">
        <v>10836</v>
      </c>
      <c r="D133" s="3">
        <v>8.8999999999999996E-2</v>
      </c>
      <c r="E133" s="3">
        <v>85</v>
      </c>
      <c r="F133" s="3">
        <f>Cleaned_data!O133</f>
        <v>4.5</v>
      </c>
      <c r="G133" s="3">
        <v>25</v>
      </c>
      <c r="H133" s="3">
        <v>0</v>
      </c>
      <c r="I133" s="3">
        <f>Dummy_variables!S133</f>
        <v>1</v>
      </c>
      <c r="J133" s="3">
        <f>Dummy_variables!T133</f>
        <v>0</v>
      </c>
      <c r="K133" s="3">
        <f>Dummy_variables!U133</f>
        <v>0</v>
      </c>
      <c r="M133">
        <v>95</v>
      </c>
      <c r="N133">
        <v>763557.38033231464</v>
      </c>
      <c r="O133">
        <v>74692.939667685307</v>
      </c>
    </row>
    <row r="134" spans="1:15" ht="14.45">
      <c r="A134" s="3">
        <v>527300.13</v>
      </c>
      <c r="B134" s="3">
        <v>70276.28</v>
      </c>
      <c r="C134" s="3">
        <v>3043</v>
      </c>
      <c r="D134" s="3">
        <v>7.9000000000000001E-2</v>
      </c>
      <c r="E134" s="3">
        <v>87.9</v>
      </c>
      <c r="F134" s="3">
        <f>Cleaned_data!O134</f>
        <v>4.4000000000000004</v>
      </c>
      <c r="G134" s="3">
        <v>9</v>
      </c>
      <c r="H134" s="3">
        <v>0</v>
      </c>
      <c r="I134" s="3">
        <f>Dummy_variables!S134</f>
        <v>1</v>
      </c>
      <c r="J134" s="3">
        <f>Dummy_variables!T134</f>
        <v>0</v>
      </c>
      <c r="K134" s="3">
        <f>Dummy_variables!U134</f>
        <v>0</v>
      </c>
      <c r="M134">
        <v>96</v>
      </c>
      <c r="N134">
        <v>616926.79758194031</v>
      </c>
      <c r="O134">
        <v>-9028.6775819403119</v>
      </c>
    </row>
    <row r="135" spans="1:15" ht="14.45">
      <c r="A135" s="3">
        <v>400831.65</v>
      </c>
      <c r="B135" s="3">
        <v>22071.64</v>
      </c>
      <c r="C135" s="3">
        <v>1814</v>
      </c>
      <c r="D135" s="3">
        <v>0.19600000000000001</v>
      </c>
      <c r="E135" s="3">
        <v>81.099999999999994</v>
      </c>
      <c r="F135" s="3">
        <f>Cleaned_data!O135</f>
        <v>3.9</v>
      </c>
      <c r="G135" s="3">
        <v>8</v>
      </c>
      <c r="H135" s="3">
        <v>0</v>
      </c>
      <c r="I135" s="3">
        <f>Dummy_variables!S135</f>
        <v>1</v>
      </c>
      <c r="J135" s="3">
        <f>Dummy_variables!T135</f>
        <v>0</v>
      </c>
      <c r="K135" s="3">
        <f>Dummy_variables!U135</f>
        <v>0</v>
      </c>
      <c r="M135">
        <v>97</v>
      </c>
      <c r="N135">
        <v>710881.66225104965</v>
      </c>
      <c r="O135">
        <v>-19768.042251049657</v>
      </c>
    </row>
    <row r="136" spans="1:15" ht="14.45">
      <c r="A136" s="3">
        <v>593247.25</v>
      </c>
      <c r="B136" s="3">
        <v>52285.45</v>
      </c>
      <c r="C136" s="3">
        <v>3618</v>
      </c>
      <c r="D136" s="3">
        <v>8.5999999999999993E-2</v>
      </c>
      <c r="E136" s="3">
        <v>95.6</v>
      </c>
      <c r="F136" s="3">
        <f>Cleaned_data!O136</f>
        <v>4.4000000000000004</v>
      </c>
      <c r="G136" s="3">
        <v>11</v>
      </c>
      <c r="H136" s="3">
        <v>1</v>
      </c>
      <c r="I136" s="3">
        <f>Dummy_variables!S136</f>
        <v>1</v>
      </c>
      <c r="J136" s="3">
        <f>Dummy_variables!T136</f>
        <v>0</v>
      </c>
      <c r="K136" s="3">
        <f>Dummy_variables!U136</f>
        <v>0</v>
      </c>
      <c r="M136">
        <v>98</v>
      </c>
      <c r="N136">
        <v>659489.15700656897</v>
      </c>
      <c r="O136">
        <v>76020.242993431049</v>
      </c>
    </row>
    <row r="137" spans="1:15" ht="14.45">
      <c r="A137" s="3">
        <v>529075.94999999995</v>
      </c>
      <c r="B137" s="3">
        <v>70366.759999999995</v>
      </c>
      <c r="C137" s="3">
        <v>1963</v>
      </c>
      <c r="D137" s="3">
        <v>0.182</v>
      </c>
      <c r="E137" s="3">
        <v>89.8</v>
      </c>
      <c r="F137" s="3">
        <f>Cleaned_data!O137</f>
        <v>4.5999999999999996</v>
      </c>
      <c r="G137" s="3">
        <v>8</v>
      </c>
      <c r="H137" s="3">
        <v>0</v>
      </c>
      <c r="I137" s="3">
        <f>Dummy_variables!S137</f>
        <v>1</v>
      </c>
      <c r="J137" s="3">
        <f>Dummy_variables!T137</f>
        <v>0</v>
      </c>
      <c r="K137" s="3">
        <f>Dummy_variables!U137</f>
        <v>0</v>
      </c>
      <c r="M137">
        <v>99</v>
      </c>
      <c r="N137">
        <v>626368.85334943235</v>
      </c>
      <c r="O137">
        <v>-20593.523349432391</v>
      </c>
    </row>
    <row r="138" spans="1:15" ht="14.45">
      <c r="A138" s="3">
        <v>633638.03</v>
      </c>
      <c r="B138" s="3">
        <v>71320.66</v>
      </c>
      <c r="C138" s="3">
        <v>7888</v>
      </c>
      <c r="D138" s="3">
        <v>4.8000000000000001E-2</v>
      </c>
      <c r="E138" s="3">
        <v>78.099999999999994</v>
      </c>
      <c r="F138" s="3">
        <f>Cleaned_data!O138</f>
        <v>3.9</v>
      </c>
      <c r="G138" s="3">
        <v>20</v>
      </c>
      <c r="H138" s="3">
        <v>0</v>
      </c>
      <c r="I138" s="3">
        <f>Dummy_variables!S138</f>
        <v>0</v>
      </c>
      <c r="J138" s="3">
        <f>Dummy_variables!T138</f>
        <v>0</v>
      </c>
      <c r="K138" s="3">
        <f>Dummy_variables!U138</f>
        <v>1</v>
      </c>
      <c r="M138">
        <v>100</v>
      </c>
      <c r="N138">
        <v>645429.34585870022</v>
      </c>
      <c r="O138">
        <v>29748.334141299827</v>
      </c>
    </row>
    <row r="139" spans="1:15" ht="14.45">
      <c r="A139" s="3">
        <v>743348.84</v>
      </c>
      <c r="B139" s="3">
        <v>75109.67</v>
      </c>
      <c r="C139" s="3">
        <v>6244</v>
      </c>
      <c r="D139" s="3">
        <v>7.9000000000000001E-2</v>
      </c>
      <c r="E139" s="3">
        <v>96.3</v>
      </c>
      <c r="F139" s="3">
        <f>Cleaned_data!O139</f>
        <v>3.7</v>
      </c>
      <c r="G139" s="3">
        <v>15</v>
      </c>
      <c r="H139" s="3">
        <v>0</v>
      </c>
      <c r="I139" s="3">
        <f>Dummy_variables!S139</f>
        <v>0</v>
      </c>
      <c r="J139" s="3">
        <f>Dummy_variables!T139</f>
        <v>0</v>
      </c>
      <c r="K139" s="3">
        <f>Dummy_variables!U139</f>
        <v>1</v>
      </c>
      <c r="M139">
        <v>101</v>
      </c>
      <c r="N139">
        <v>604658.58301874064</v>
      </c>
      <c r="O139">
        <v>30522.766981259338</v>
      </c>
    </row>
    <row r="140" spans="1:15" ht="14.45">
      <c r="A140" s="3">
        <v>758827.64</v>
      </c>
      <c r="B140" s="3">
        <v>69779</v>
      </c>
      <c r="C140" s="3">
        <v>6544</v>
      </c>
      <c r="D140" s="3">
        <v>0.152</v>
      </c>
      <c r="E140" s="3">
        <v>90.2</v>
      </c>
      <c r="F140" s="3">
        <f>Cleaned_data!O140</f>
        <v>3.3</v>
      </c>
      <c r="G140" s="3">
        <v>18</v>
      </c>
      <c r="H140" s="3">
        <v>1</v>
      </c>
      <c r="I140" s="3">
        <f>Dummy_variables!S140</f>
        <v>0</v>
      </c>
      <c r="J140" s="3">
        <f>Dummy_variables!T140</f>
        <v>0</v>
      </c>
      <c r="K140" s="3">
        <f>Dummy_variables!U140</f>
        <v>1</v>
      </c>
      <c r="M140">
        <v>102</v>
      </c>
      <c r="N140">
        <v>642018.73508060176</v>
      </c>
      <c r="O140">
        <v>-55391.79508060182</v>
      </c>
    </row>
    <row r="141" spans="1:15" ht="14.45">
      <c r="A141" s="3">
        <v>646559.71</v>
      </c>
      <c r="B141" s="3">
        <v>44211.95</v>
      </c>
      <c r="C141" s="3">
        <v>5465</v>
      </c>
      <c r="D141" s="3">
        <v>0.187</v>
      </c>
      <c r="E141" s="3">
        <v>90</v>
      </c>
      <c r="F141" s="3">
        <f>Cleaned_data!O141</f>
        <v>3.6</v>
      </c>
      <c r="G141" s="3">
        <v>12</v>
      </c>
      <c r="H141" s="3">
        <v>0</v>
      </c>
      <c r="I141" s="3">
        <f>Dummy_variables!S141</f>
        <v>0</v>
      </c>
      <c r="J141" s="3">
        <f>Dummy_variables!T141</f>
        <v>0</v>
      </c>
      <c r="K141" s="3">
        <f>Dummy_variables!U141</f>
        <v>1</v>
      </c>
      <c r="M141">
        <v>103</v>
      </c>
      <c r="N141">
        <v>720130.00169266341</v>
      </c>
      <c r="O141">
        <v>19972.638307336601</v>
      </c>
    </row>
    <row r="142" spans="1:15" ht="14.45">
      <c r="A142" s="3">
        <v>715890.53</v>
      </c>
      <c r="B142" s="3">
        <v>51430.31</v>
      </c>
      <c r="C142" s="3">
        <v>6427</v>
      </c>
      <c r="D142" s="3">
        <v>0.23400000000000001</v>
      </c>
      <c r="E142" s="3">
        <v>88.8</v>
      </c>
      <c r="F142" s="3">
        <f>Cleaned_data!O142</f>
        <v>4.0999999999999996</v>
      </c>
      <c r="G142" s="3">
        <v>14</v>
      </c>
      <c r="H142" s="3">
        <v>0</v>
      </c>
      <c r="I142" s="3">
        <f>Dummy_variables!S142</f>
        <v>1</v>
      </c>
      <c r="J142" s="3">
        <f>Dummy_variables!T142</f>
        <v>0</v>
      </c>
      <c r="K142" s="3">
        <f>Dummy_variables!U142</f>
        <v>0</v>
      </c>
      <c r="M142">
        <v>104</v>
      </c>
      <c r="N142">
        <v>545209.25846720696</v>
      </c>
      <c r="O142">
        <v>80304.781532793073</v>
      </c>
    </row>
    <row r="143" spans="1:15" ht="14.45">
      <c r="A143" s="3">
        <v>715097.57</v>
      </c>
      <c r="B143" s="3">
        <v>45706.49</v>
      </c>
      <c r="C143" s="3">
        <v>6704</v>
      </c>
      <c r="D143" s="3">
        <v>3.7999999999999999E-2</v>
      </c>
      <c r="E143" s="3">
        <v>94.2</v>
      </c>
      <c r="F143" s="3">
        <f>Cleaned_data!O143</f>
        <v>4.2</v>
      </c>
      <c r="G143" s="3">
        <v>15</v>
      </c>
      <c r="H143" s="3">
        <v>0</v>
      </c>
      <c r="I143" s="3">
        <f>Dummy_variables!S143</f>
        <v>1</v>
      </c>
      <c r="J143" s="3">
        <f>Dummy_variables!T143</f>
        <v>0</v>
      </c>
      <c r="K143" s="3">
        <f>Dummy_variables!U143</f>
        <v>0</v>
      </c>
      <c r="M143">
        <v>105</v>
      </c>
      <c r="N143">
        <v>696204.97293920291</v>
      </c>
      <c r="O143">
        <v>31022.227060797042</v>
      </c>
    </row>
    <row r="144" spans="1:15" ht="14.45">
      <c r="A144" s="3">
        <v>682639.28</v>
      </c>
      <c r="B144" s="3">
        <v>44034.6</v>
      </c>
      <c r="C144" s="3">
        <v>5645</v>
      </c>
      <c r="D144" s="3">
        <v>6.9000000000000006E-2</v>
      </c>
      <c r="E144" s="3">
        <v>88.5</v>
      </c>
      <c r="F144" s="3">
        <f>Cleaned_data!O144</f>
        <v>3.8</v>
      </c>
      <c r="G144" s="3">
        <v>18</v>
      </c>
      <c r="H144" s="3">
        <v>0</v>
      </c>
      <c r="I144" s="3">
        <f>Dummy_variables!S144</f>
        <v>1</v>
      </c>
      <c r="J144" s="3">
        <f>Dummy_variables!T144</f>
        <v>0</v>
      </c>
      <c r="K144" s="3">
        <f>Dummy_variables!U144</f>
        <v>0</v>
      </c>
      <c r="M144">
        <v>106</v>
      </c>
      <c r="N144">
        <v>783650.58000780526</v>
      </c>
      <c r="O144">
        <v>147.3099921947578</v>
      </c>
    </row>
    <row r="145" spans="1:15" ht="14.45">
      <c r="A145" s="3">
        <v>695098.51</v>
      </c>
      <c r="B145" s="3">
        <v>50198.12</v>
      </c>
      <c r="C145" s="3">
        <v>6089</v>
      </c>
      <c r="D145" s="3">
        <v>0.182</v>
      </c>
      <c r="E145" s="3">
        <v>94</v>
      </c>
      <c r="F145" s="3">
        <f>Cleaned_data!O145</f>
        <v>3.9</v>
      </c>
      <c r="G145" s="3">
        <v>19</v>
      </c>
      <c r="H145" s="3">
        <v>0</v>
      </c>
      <c r="I145" s="3">
        <f>Dummy_variables!S145</f>
        <v>1</v>
      </c>
      <c r="J145" s="3">
        <f>Dummy_variables!T145</f>
        <v>0</v>
      </c>
      <c r="K145" s="3">
        <f>Dummy_variables!U145</f>
        <v>0</v>
      </c>
      <c r="M145">
        <v>107</v>
      </c>
      <c r="N145">
        <v>702083.25379898248</v>
      </c>
      <c r="O145">
        <v>93070.58620101749</v>
      </c>
    </row>
    <row r="146" spans="1:15" ht="14.45">
      <c r="A146" s="3">
        <v>577732.56999999995</v>
      </c>
      <c r="B146" s="3">
        <v>70488.2</v>
      </c>
      <c r="C146" s="3">
        <v>4312</v>
      </c>
      <c r="D146" s="3">
        <v>0.16900000000000001</v>
      </c>
      <c r="E146" s="3">
        <v>90.2</v>
      </c>
      <c r="F146" s="3">
        <f>Cleaned_data!O146</f>
        <v>3.2</v>
      </c>
      <c r="G146" s="3">
        <v>12</v>
      </c>
      <c r="H146" s="3">
        <v>0</v>
      </c>
      <c r="I146" s="3">
        <f>Dummy_variables!S146</f>
        <v>0</v>
      </c>
      <c r="J146" s="3">
        <f>Dummy_variables!T146</f>
        <v>0</v>
      </c>
      <c r="K146" s="3">
        <f>Dummy_variables!U146</f>
        <v>1</v>
      </c>
      <c r="M146">
        <v>108</v>
      </c>
      <c r="N146">
        <v>656207.82060310198</v>
      </c>
      <c r="O146">
        <v>9387.1193968979642</v>
      </c>
    </row>
    <row r="147" spans="1:15" ht="14.45">
      <c r="A147" s="3">
        <v>537058.32999999996</v>
      </c>
      <c r="B147" s="3">
        <v>50909.27</v>
      </c>
      <c r="C147" s="3">
        <v>3152</v>
      </c>
      <c r="D147" s="3">
        <v>0.06</v>
      </c>
      <c r="E147" s="3">
        <v>93.7</v>
      </c>
      <c r="F147" s="3">
        <f>Cleaned_data!O147</f>
        <v>3.5</v>
      </c>
      <c r="G147" s="3">
        <v>13</v>
      </c>
      <c r="H147" s="3">
        <v>0</v>
      </c>
      <c r="I147" s="3">
        <f>Dummy_variables!S147</f>
        <v>0</v>
      </c>
      <c r="J147" s="3">
        <f>Dummy_variables!T147</f>
        <v>0</v>
      </c>
      <c r="K147" s="3">
        <f>Dummy_variables!U147</f>
        <v>1</v>
      </c>
      <c r="M147">
        <v>109</v>
      </c>
      <c r="N147">
        <v>694989.60160779266</v>
      </c>
      <c r="O147">
        <v>14488.788392207352</v>
      </c>
    </row>
    <row r="148" spans="1:15" ht="14.45">
      <c r="A148" s="3">
        <v>601568.87</v>
      </c>
      <c r="B148" s="3">
        <v>53351.7</v>
      </c>
      <c r="C148" s="3">
        <v>4259</v>
      </c>
      <c r="D148" s="3">
        <v>0.156</v>
      </c>
      <c r="E148" s="3">
        <v>93.7</v>
      </c>
      <c r="F148" s="3">
        <f>Cleaned_data!O148</f>
        <v>3.4</v>
      </c>
      <c r="G148" s="3">
        <v>15</v>
      </c>
      <c r="H148" s="3">
        <v>0</v>
      </c>
      <c r="I148" s="3">
        <f>Dummy_variables!S148</f>
        <v>0</v>
      </c>
      <c r="J148" s="3">
        <f>Dummy_variables!T148</f>
        <v>0</v>
      </c>
      <c r="K148" s="3">
        <f>Dummy_variables!U148</f>
        <v>1</v>
      </c>
      <c r="M148">
        <v>110</v>
      </c>
      <c r="N148">
        <v>645095.99966669246</v>
      </c>
      <c r="O148">
        <v>19066.490333307534</v>
      </c>
    </row>
    <row r="149" spans="1:15" ht="14.45">
      <c r="A149" s="3">
        <v>570964.84</v>
      </c>
      <c r="B149" s="3">
        <v>60322.400000000001</v>
      </c>
      <c r="C149" s="3">
        <v>3350</v>
      </c>
      <c r="D149" s="3">
        <v>0.108</v>
      </c>
      <c r="E149" s="3">
        <v>89.4</v>
      </c>
      <c r="F149" s="3">
        <f>Cleaned_data!O149</f>
        <v>3.4</v>
      </c>
      <c r="G149" s="3">
        <v>12</v>
      </c>
      <c r="H149" s="3">
        <v>0</v>
      </c>
      <c r="I149" s="3">
        <f>Dummy_variables!S149</f>
        <v>0</v>
      </c>
      <c r="J149" s="3">
        <f>Dummy_variables!T149</f>
        <v>0</v>
      </c>
      <c r="K149" s="3">
        <f>Dummy_variables!U149</f>
        <v>1</v>
      </c>
      <c r="M149">
        <v>111</v>
      </c>
      <c r="N149">
        <v>659795.91629713401</v>
      </c>
      <c r="O149">
        <v>-26301.706297134049</v>
      </c>
    </row>
    <row r="150" spans="1:15" ht="14.45">
      <c r="A150" s="3">
        <v>614024.91</v>
      </c>
      <c r="B150" s="3">
        <v>51575.68</v>
      </c>
      <c r="C150" s="3">
        <v>5329</v>
      </c>
      <c r="D150" s="3">
        <v>4.7E-2</v>
      </c>
      <c r="E150" s="3">
        <v>88.1</v>
      </c>
      <c r="F150" s="3">
        <f>Cleaned_data!O150</f>
        <v>3.8</v>
      </c>
      <c r="G150" s="3">
        <v>17</v>
      </c>
      <c r="H150" s="3">
        <v>0</v>
      </c>
      <c r="I150" s="3">
        <f>Dummy_variables!S150</f>
        <v>0</v>
      </c>
      <c r="J150" s="3">
        <f>Dummy_variables!T150</f>
        <v>1</v>
      </c>
      <c r="K150" s="3">
        <f>Dummy_variables!U150</f>
        <v>0</v>
      </c>
      <c r="M150">
        <v>112</v>
      </c>
      <c r="N150">
        <v>612453.45238675072</v>
      </c>
      <c r="O150">
        <v>101157.70761324931</v>
      </c>
    </row>
    <row r="151" spans="1:15" ht="14.45">
      <c r="A151" s="3">
        <v>712868.35</v>
      </c>
      <c r="B151" s="3">
        <v>43319.94</v>
      </c>
      <c r="C151" s="3">
        <v>6551</v>
      </c>
      <c r="D151" s="3">
        <v>4.3999999999999997E-2</v>
      </c>
      <c r="E151" s="3">
        <v>99</v>
      </c>
      <c r="F151" s="3">
        <f>Cleaned_data!O151</f>
        <v>4.0999999999999996</v>
      </c>
      <c r="G151" s="3">
        <v>13</v>
      </c>
      <c r="H151" s="3">
        <v>0</v>
      </c>
      <c r="I151" s="3">
        <f>Dummy_variables!S151</f>
        <v>0</v>
      </c>
      <c r="J151" s="3">
        <f>Dummy_variables!T151</f>
        <v>1</v>
      </c>
      <c r="K151" s="3">
        <f>Dummy_variables!U151</f>
        <v>0</v>
      </c>
      <c r="M151">
        <v>113</v>
      </c>
      <c r="N151">
        <v>729715.06692420784</v>
      </c>
      <c r="O151">
        <v>48682.903075792128</v>
      </c>
    </row>
    <row r="152" spans="1:15" ht="14.45">
      <c r="A152" s="3">
        <v>696744.15</v>
      </c>
      <c r="B152" s="3">
        <v>47093.55</v>
      </c>
      <c r="C152" s="3">
        <v>5550</v>
      </c>
      <c r="D152" s="3">
        <v>0.1</v>
      </c>
      <c r="E152" s="3">
        <v>95</v>
      </c>
      <c r="F152" s="3">
        <f>Cleaned_data!O152</f>
        <v>3.7</v>
      </c>
      <c r="G152" s="3">
        <v>12</v>
      </c>
      <c r="H152" s="3">
        <v>1</v>
      </c>
      <c r="I152" s="3">
        <f>Dummy_variables!S152</f>
        <v>0</v>
      </c>
      <c r="J152" s="3">
        <f>Dummy_variables!T152</f>
        <v>1</v>
      </c>
      <c r="K152" s="3">
        <f>Dummy_variables!U152</f>
        <v>0</v>
      </c>
      <c r="M152">
        <v>114</v>
      </c>
      <c r="N152">
        <v>829430.09530825925</v>
      </c>
      <c r="O152">
        <v>43949.924691740773</v>
      </c>
    </row>
    <row r="153" spans="1:15" ht="14.45">
      <c r="A153" s="3">
        <v>725847.99</v>
      </c>
      <c r="B153" s="3">
        <v>71855.09</v>
      </c>
      <c r="C153" s="3">
        <v>5911</v>
      </c>
      <c r="D153" s="3">
        <v>0.19700000000000001</v>
      </c>
      <c r="E153" s="3">
        <v>94.3</v>
      </c>
      <c r="F153" s="3">
        <f>Cleaned_data!O153</f>
        <v>4.0999999999999996</v>
      </c>
      <c r="G153" s="3">
        <v>15</v>
      </c>
      <c r="H153" s="3">
        <v>0</v>
      </c>
      <c r="I153" s="3">
        <f>Dummy_variables!S153</f>
        <v>0</v>
      </c>
      <c r="J153" s="3">
        <f>Dummy_variables!T153</f>
        <v>1</v>
      </c>
      <c r="K153" s="3">
        <f>Dummy_variables!U153</f>
        <v>0</v>
      </c>
      <c r="M153">
        <v>115</v>
      </c>
      <c r="N153">
        <v>742633.5396698995</v>
      </c>
      <c r="O153">
        <v>-45345.639669899479</v>
      </c>
    </row>
    <row r="154" spans="1:15" ht="14.45">
      <c r="A154" s="3">
        <v>785028.25</v>
      </c>
      <c r="B154" s="3">
        <v>75645.23</v>
      </c>
      <c r="C154" s="3">
        <v>9674</v>
      </c>
      <c r="D154" s="3">
        <v>0.23400000000000001</v>
      </c>
      <c r="E154" s="3">
        <v>87.4</v>
      </c>
      <c r="F154" s="3">
        <f>Cleaned_data!O154</f>
        <v>4.5</v>
      </c>
      <c r="G154" s="3">
        <v>21</v>
      </c>
      <c r="H154" s="3">
        <v>0</v>
      </c>
      <c r="I154" s="3">
        <f>Dummy_variables!S154</f>
        <v>1</v>
      </c>
      <c r="J154" s="3">
        <f>Dummy_variables!T154</f>
        <v>0</v>
      </c>
      <c r="K154" s="3">
        <f>Dummy_variables!U154</f>
        <v>0</v>
      </c>
      <c r="M154">
        <v>116</v>
      </c>
      <c r="N154">
        <v>755075.71268047672</v>
      </c>
      <c r="O154">
        <v>-37000.92268047668</v>
      </c>
    </row>
    <row r="155" spans="1:15" ht="14.45">
      <c r="A155" s="3">
        <v>698492.67</v>
      </c>
      <c r="B155" s="3">
        <v>64374.75</v>
      </c>
      <c r="C155" s="3">
        <v>6740</v>
      </c>
      <c r="D155" s="3">
        <v>0.16900000000000001</v>
      </c>
      <c r="E155" s="3">
        <v>87</v>
      </c>
      <c r="F155" s="3">
        <f>Cleaned_data!O155</f>
        <v>4.2</v>
      </c>
      <c r="G155" s="3">
        <v>18</v>
      </c>
      <c r="H155" s="3">
        <v>0</v>
      </c>
      <c r="I155" s="3">
        <f>Dummy_variables!S155</f>
        <v>1</v>
      </c>
      <c r="J155" s="3">
        <f>Dummy_variables!T155</f>
        <v>0</v>
      </c>
      <c r="K155" s="3">
        <f>Dummy_variables!U155</f>
        <v>0</v>
      </c>
      <c r="M155">
        <v>117</v>
      </c>
      <c r="N155">
        <v>710275.44226294337</v>
      </c>
      <c r="O155">
        <v>4666.9877370566828</v>
      </c>
    </row>
    <row r="156" spans="1:15" ht="14.45">
      <c r="A156" s="3">
        <v>685830.24</v>
      </c>
      <c r="B156" s="3">
        <v>61433.84</v>
      </c>
      <c r="C156" s="3">
        <v>7745</v>
      </c>
      <c r="D156" s="3">
        <v>0.18</v>
      </c>
      <c r="E156" s="3">
        <v>90.5</v>
      </c>
      <c r="F156" s="3">
        <f>Cleaned_data!O156</f>
        <v>4.2</v>
      </c>
      <c r="G156" s="3">
        <v>16</v>
      </c>
      <c r="H156" s="3">
        <v>0</v>
      </c>
      <c r="I156" s="3">
        <f>Dummy_variables!S156</f>
        <v>1</v>
      </c>
      <c r="J156" s="3">
        <f>Dummy_variables!T156</f>
        <v>0</v>
      </c>
      <c r="K156" s="3">
        <f>Dummy_variables!U156</f>
        <v>0</v>
      </c>
      <c r="M156">
        <v>118</v>
      </c>
      <c r="N156">
        <v>717077.41386720841</v>
      </c>
      <c r="O156">
        <v>103441.62613279163</v>
      </c>
    </row>
    <row r="157" spans="1:15" ht="14.45">
      <c r="A157" s="3">
        <v>702318.94</v>
      </c>
      <c r="B157" s="3">
        <v>42698.14</v>
      </c>
      <c r="C157" s="3">
        <v>7693</v>
      </c>
      <c r="D157" s="3">
        <v>0.187</v>
      </c>
      <c r="E157" s="3">
        <v>90.1</v>
      </c>
      <c r="F157" s="3">
        <f>Cleaned_data!O157</f>
        <v>4.4000000000000004</v>
      </c>
      <c r="G157" s="3">
        <v>19</v>
      </c>
      <c r="H157" s="3">
        <v>0</v>
      </c>
      <c r="I157" s="3">
        <f>Dummy_variables!S157</f>
        <v>1</v>
      </c>
      <c r="J157" s="3">
        <f>Dummy_variables!T157</f>
        <v>0</v>
      </c>
      <c r="K157" s="3">
        <f>Dummy_variables!U157</f>
        <v>0</v>
      </c>
      <c r="M157">
        <v>119</v>
      </c>
      <c r="N157">
        <v>738532.18793490611</v>
      </c>
      <c r="O157">
        <v>-54314.867934906157</v>
      </c>
    </row>
    <row r="158" spans="1:15" ht="14.45">
      <c r="A158" s="3">
        <v>700078.32</v>
      </c>
      <c r="B158" s="3">
        <v>86883.31</v>
      </c>
      <c r="C158" s="3">
        <v>6424</v>
      </c>
      <c r="D158" s="3">
        <v>5.7000000000000002E-2</v>
      </c>
      <c r="E158" s="3">
        <v>85.2</v>
      </c>
      <c r="F158" s="3">
        <f>Cleaned_data!O158</f>
        <v>3.9</v>
      </c>
      <c r="G158" s="3">
        <v>19</v>
      </c>
      <c r="H158" s="3">
        <v>0</v>
      </c>
      <c r="I158" s="3">
        <f>Dummy_variables!S158</f>
        <v>0</v>
      </c>
      <c r="J158" s="3">
        <f>Dummy_variables!T158</f>
        <v>1</v>
      </c>
      <c r="K158" s="3">
        <f>Dummy_variables!U158</f>
        <v>0</v>
      </c>
      <c r="M158">
        <v>120</v>
      </c>
      <c r="N158">
        <v>727404.04668677424</v>
      </c>
      <c r="O158">
        <v>8076.143313225708</v>
      </c>
    </row>
    <row r="159" spans="1:15" ht="14.45">
      <c r="A159" s="3">
        <v>602002.31999999995</v>
      </c>
      <c r="B159" s="3">
        <v>41863.08</v>
      </c>
      <c r="C159" s="3">
        <v>5400</v>
      </c>
      <c r="D159" s="3">
        <v>0.114</v>
      </c>
      <c r="E159" s="3">
        <v>91.6</v>
      </c>
      <c r="F159" s="3">
        <f>Cleaned_data!O159</f>
        <v>3</v>
      </c>
      <c r="G159" s="3">
        <v>11</v>
      </c>
      <c r="H159" s="3">
        <v>0</v>
      </c>
      <c r="I159" s="3">
        <f>Dummy_variables!S159</f>
        <v>0</v>
      </c>
      <c r="J159" s="3">
        <f>Dummy_variables!T159</f>
        <v>1</v>
      </c>
      <c r="K159" s="3">
        <f>Dummy_variables!U159</f>
        <v>0</v>
      </c>
      <c r="M159">
        <v>121</v>
      </c>
      <c r="N159">
        <v>578411.92985827336</v>
      </c>
      <c r="O159">
        <v>-68927.119858273363</v>
      </c>
    </row>
    <row r="160" spans="1:15" ht="14.45">
      <c r="A160" s="3">
        <v>724216.07</v>
      </c>
      <c r="B160" s="3">
        <v>56918.16</v>
      </c>
      <c r="C160" s="3">
        <v>7015</v>
      </c>
      <c r="D160" s="3">
        <v>0.158</v>
      </c>
      <c r="E160" s="3">
        <v>74.2</v>
      </c>
      <c r="F160" s="3">
        <f>Cleaned_data!O160</f>
        <v>3.4</v>
      </c>
      <c r="G160" s="3">
        <v>18</v>
      </c>
      <c r="H160" s="3">
        <v>0</v>
      </c>
      <c r="I160" s="3">
        <f>Dummy_variables!S160</f>
        <v>0</v>
      </c>
      <c r="J160" s="3">
        <f>Dummy_variables!T160</f>
        <v>1</v>
      </c>
      <c r="K160" s="3">
        <f>Dummy_variables!U160</f>
        <v>0</v>
      </c>
      <c r="M160">
        <v>122</v>
      </c>
      <c r="N160">
        <v>635726.24680489034</v>
      </c>
      <c r="O160">
        <v>18590.843195109628</v>
      </c>
    </row>
    <row r="161" spans="1:15" ht="14.45">
      <c r="A161" s="3">
        <v>620973.03</v>
      </c>
      <c r="B161" s="3">
        <v>23254.57</v>
      </c>
      <c r="C161" s="3">
        <v>3847</v>
      </c>
      <c r="D161" s="3">
        <v>0.159</v>
      </c>
      <c r="E161" s="3">
        <v>93</v>
      </c>
      <c r="F161" s="3">
        <f>Cleaned_data!O161</f>
        <v>3.3</v>
      </c>
      <c r="G161" s="3">
        <v>12</v>
      </c>
      <c r="H161" s="3">
        <v>0</v>
      </c>
      <c r="I161" s="3">
        <f>Dummy_variables!S161</f>
        <v>0</v>
      </c>
      <c r="J161" s="3">
        <f>Dummy_variables!T161</f>
        <v>1</v>
      </c>
      <c r="K161" s="3">
        <f>Dummy_variables!U161</f>
        <v>0</v>
      </c>
      <c r="M161">
        <v>123</v>
      </c>
      <c r="N161">
        <v>604896.23162291478</v>
      </c>
      <c r="O161">
        <v>-47408.971622914774</v>
      </c>
    </row>
    <row r="162" spans="1:15" ht="14.45">
      <c r="A162" s="3">
        <v>650480.06000000006</v>
      </c>
      <c r="B162" s="3">
        <v>41443.410000000003</v>
      </c>
      <c r="C162" s="3">
        <v>7455</v>
      </c>
      <c r="D162" s="3">
        <v>0.17499999999999999</v>
      </c>
      <c r="E162" s="3">
        <v>90.1</v>
      </c>
      <c r="F162" s="3">
        <f>Cleaned_data!O162</f>
        <v>4</v>
      </c>
      <c r="G162" s="3">
        <v>16</v>
      </c>
      <c r="H162" s="3">
        <v>0</v>
      </c>
      <c r="I162" s="3">
        <f>Dummy_variables!S162</f>
        <v>1</v>
      </c>
      <c r="J162" s="3">
        <f>Dummy_variables!T162</f>
        <v>0</v>
      </c>
      <c r="K162" s="3">
        <f>Dummy_variables!U162</f>
        <v>0</v>
      </c>
      <c r="M162">
        <v>124</v>
      </c>
      <c r="N162">
        <v>518046.83907853795</v>
      </c>
      <c r="O162">
        <v>-76771.419078537961</v>
      </c>
    </row>
    <row r="163" spans="1:15" ht="14.45">
      <c r="A163" s="3">
        <v>778298.88</v>
      </c>
      <c r="B163" s="3">
        <v>48438.85</v>
      </c>
      <c r="C163" s="3">
        <v>6992</v>
      </c>
      <c r="D163" s="3">
        <v>3.4000000000000002E-2</v>
      </c>
      <c r="E163" s="3">
        <v>91</v>
      </c>
      <c r="F163" s="3">
        <f>Cleaned_data!O163</f>
        <v>4.2</v>
      </c>
      <c r="G163" s="3">
        <v>20</v>
      </c>
      <c r="H163" s="3">
        <v>0</v>
      </c>
      <c r="I163" s="3">
        <f>Dummy_variables!S163</f>
        <v>1</v>
      </c>
      <c r="J163" s="3">
        <f>Dummy_variables!T163</f>
        <v>0</v>
      </c>
      <c r="K163" s="3">
        <f>Dummy_variables!U163</f>
        <v>0</v>
      </c>
      <c r="M163">
        <v>125</v>
      </c>
      <c r="N163">
        <v>847398.57306522643</v>
      </c>
      <c r="O163">
        <v>67145.59693477361</v>
      </c>
    </row>
    <row r="164" spans="1:15" ht="14.45">
      <c r="A164" s="3">
        <v>677096.71</v>
      </c>
      <c r="B164" s="3">
        <v>57143.3</v>
      </c>
      <c r="C164" s="3">
        <v>8038</v>
      </c>
      <c r="D164" s="3">
        <v>0.193</v>
      </c>
      <c r="E164" s="3">
        <v>72.599999999999994</v>
      </c>
      <c r="F164" s="3">
        <f>Cleaned_data!O164</f>
        <v>4.2</v>
      </c>
      <c r="G164" s="3">
        <v>17</v>
      </c>
      <c r="H164" s="3">
        <v>0</v>
      </c>
      <c r="I164" s="3">
        <f>Dummy_variables!S164</f>
        <v>1</v>
      </c>
      <c r="J164" s="3">
        <f>Dummy_variables!T164</f>
        <v>0</v>
      </c>
      <c r="K164" s="3">
        <f>Dummy_variables!U164</f>
        <v>0</v>
      </c>
      <c r="M164">
        <v>126</v>
      </c>
      <c r="N164">
        <v>862404.1350949168</v>
      </c>
      <c r="O164">
        <v>-19964.465094916755</v>
      </c>
    </row>
    <row r="165" spans="1:15" ht="14.45">
      <c r="A165" s="3">
        <v>692008.64</v>
      </c>
      <c r="B165" s="3">
        <v>66870.62</v>
      </c>
      <c r="C165" s="3">
        <v>6055</v>
      </c>
      <c r="D165" s="3">
        <v>7.4999999999999997E-2</v>
      </c>
      <c r="E165" s="3">
        <v>93.8</v>
      </c>
      <c r="F165" s="3">
        <f>Cleaned_data!O165</f>
        <v>4.3</v>
      </c>
      <c r="G165" s="3">
        <v>19</v>
      </c>
      <c r="H165" s="3">
        <v>0</v>
      </c>
      <c r="I165" s="3">
        <f>Dummy_variables!S165</f>
        <v>1</v>
      </c>
      <c r="J165" s="3">
        <f>Dummy_variables!T165</f>
        <v>0</v>
      </c>
      <c r="K165" s="3">
        <f>Dummy_variables!U165</f>
        <v>0</v>
      </c>
      <c r="M165">
        <v>127</v>
      </c>
      <c r="N165">
        <v>798319.4648108515</v>
      </c>
      <c r="O165">
        <v>43838.455189148546</v>
      </c>
    </row>
    <row r="166" spans="1:15" ht="14.45">
      <c r="A166" s="3">
        <v>825797.91</v>
      </c>
      <c r="B166" s="3">
        <v>72150.53</v>
      </c>
      <c r="C166" s="3">
        <v>9323</v>
      </c>
      <c r="D166" s="3">
        <v>0.157</v>
      </c>
      <c r="E166" s="3">
        <v>82.9</v>
      </c>
      <c r="F166" s="3">
        <f>Cleaned_data!O166</f>
        <v>4.3</v>
      </c>
      <c r="G166" s="3">
        <v>22</v>
      </c>
      <c r="H166" s="3">
        <v>1</v>
      </c>
      <c r="I166" s="3">
        <f>Dummy_variables!S166</f>
        <v>0</v>
      </c>
      <c r="J166" s="3">
        <f>Dummy_variables!T166</f>
        <v>1</v>
      </c>
      <c r="K166" s="3">
        <f>Dummy_variables!U166</f>
        <v>0</v>
      </c>
      <c r="M166">
        <v>128</v>
      </c>
      <c r="N166">
        <v>707573.74412496004</v>
      </c>
      <c r="O166">
        <v>-10418.444124959991</v>
      </c>
    </row>
    <row r="167" spans="1:15" ht="14.45">
      <c r="A167" s="3">
        <v>706285.52</v>
      </c>
      <c r="B167" s="3">
        <v>35303.300000000003</v>
      </c>
      <c r="C167" s="3">
        <v>8789</v>
      </c>
      <c r="D167" s="3">
        <v>0.123</v>
      </c>
      <c r="E167" s="3">
        <v>86.1</v>
      </c>
      <c r="F167" s="3">
        <f>Cleaned_data!O167</f>
        <v>4.2</v>
      </c>
      <c r="G167" s="3">
        <v>22</v>
      </c>
      <c r="H167" s="3">
        <v>0</v>
      </c>
      <c r="I167" s="3">
        <f>Dummy_variables!S167</f>
        <v>0</v>
      </c>
      <c r="J167" s="3">
        <f>Dummy_variables!T167</f>
        <v>1</v>
      </c>
      <c r="K167" s="3">
        <f>Dummy_variables!U167</f>
        <v>0</v>
      </c>
      <c r="M167">
        <v>129</v>
      </c>
      <c r="N167">
        <v>859611.99150020222</v>
      </c>
      <c r="O167">
        <v>-10593.691500202171</v>
      </c>
    </row>
    <row r="168" spans="1:15" ht="14.45">
      <c r="A168" s="3">
        <v>665534.69999999995</v>
      </c>
      <c r="B168" s="3">
        <v>30301.86</v>
      </c>
      <c r="C168" s="3">
        <v>6939</v>
      </c>
      <c r="D168" s="3">
        <v>0.09</v>
      </c>
      <c r="E168" s="3">
        <v>90.3</v>
      </c>
      <c r="F168" s="3">
        <f>Cleaned_data!O168</f>
        <v>4</v>
      </c>
      <c r="G168" s="3">
        <v>16</v>
      </c>
      <c r="H168" s="3">
        <v>0</v>
      </c>
      <c r="I168" s="3">
        <f>Dummy_variables!S168</f>
        <v>0</v>
      </c>
      <c r="J168" s="3">
        <f>Dummy_variables!T168</f>
        <v>1</v>
      </c>
      <c r="K168" s="3">
        <f>Dummy_variables!U168</f>
        <v>0</v>
      </c>
      <c r="M168">
        <v>130</v>
      </c>
      <c r="N168">
        <v>809262.79179326515</v>
      </c>
      <c r="O168">
        <v>-7432.4417932651704</v>
      </c>
    </row>
    <row r="169" spans="1:15" ht="14.45">
      <c r="A169" s="3">
        <v>820729.29</v>
      </c>
      <c r="B169" s="3">
        <v>78432.14</v>
      </c>
      <c r="C169" s="3">
        <v>9440</v>
      </c>
      <c r="D169" s="3">
        <v>0.126</v>
      </c>
      <c r="E169" s="3">
        <v>89.2</v>
      </c>
      <c r="F169" s="3">
        <f>Cleaned_data!O169</f>
        <v>4.0999999999999996</v>
      </c>
      <c r="G169" s="3">
        <v>23</v>
      </c>
      <c r="H169" s="3">
        <v>0</v>
      </c>
      <c r="I169" s="3">
        <f>Dummy_variables!S169</f>
        <v>0</v>
      </c>
      <c r="J169" s="3">
        <f>Dummy_variables!T169</f>
        <v>1</v>
      </c>
      <c r="K169" s="3">
        <f>Dummy_variables!U169</f>
        <v>0</v>
      </c>
      <c r="M169">
        <v>131</v>
      </c>
      <c r="N169">
        <v>806572.69027145975</v>
      </c>
      <c r="O169">
        <v>-81337.410271459725</v>
      </c>
    </row>
    <row r="170" spans="1:15" ht="14.45">
      <c r="A170" s="3">
        <v>739831.73</v>
      </c>
      <c r="B170" s="3">
        <v>62059.18</v>
      </c>
      <c r="C170" s="3">
        <v>9374</v>
      </c>
      <c r="D170" s="3">
        <v>0.13600000000000001</v>
      </c>
      <c r="E170" s="3">
        <v>87.1</v>
      </c>
      <c r="F170" s="3">
        <f>Cleaned_data!O170</f>
        <v>4.9000000000000004</v>
      </c>
      <c r="G170" s="3">
        <v>25</v>
      </c>
      <c r="H170" s="3">
        <v>0</v>
      </c>
      <c r="I170" s="3">
        <f>Dummy_variables!S170</f>
        <v>0</v>
      </c>
      <c r="J170" s="3">
        <f>Dummy_variables!T170</f>
        <v>0</v>
      </c>
      <c r="K170" s="3">
        <f>Dummy_variables!U170</f>
        <v>1</v>
      </c>
      <c r="M170">
        <v>132</v>
      </c>
      <c r="N170">
        <v>840573.85929382325</v>
      </c>
      <c r="O170">
        <v>-29121.139293823275</v>
      </c>
    </row>
    <row r="171" spans="1:15" ht="14.45">
      <c r="A171" s="3">
        <v>593637.14</v>
      </c>
      <c r="B171" s="3">
        <v>32834.480000000003</v>
      </c>
      <c r="C171" s="3">
        <v>7576</v>
      </c>
      <c r="D171" s="3">
        <v>9.9000000000000005E-2</v>
      </c>
      <c r="E171" s="3">
        <v>84.1</v>
      </c>
      <c r="F171" s="3">
        <f>Cleaned_data!O171</f>
        <v>5</v>
      </c>
      <c r="G171" s="3">
        <v>15</v>
      </c>
      <c r="H171" s="3">
        <v>0</v>
      </c>
      <c r="I171" s="3">
        <f>Dummy_variables!S171</f>
        <v>0</v>
      </c>
      <c r="J171" s="3">
        <f>Dummy_variables!T171</f>
        <v>0</v>
      </c>
      <c r="K171" s="3">
        <f>Dummy_variables!U171</f>
        <v>1</v>
      </c>
      <c r="M171">
        <v>133</v>
      </c>
      <c r="N171">
        <v>585137.29304456792</v>
      </c>
      <c r="O171">
        <v>-57837.163044567918</v>
      </c>
    </row>
    <row r="172" spans="1:15" ht="14.45">
      <c r="A172" s="3">
        <v>769702.76</v>
      </c>
      <c r="B172" s="3">
        <v>50825.08</v>
      </c>
      <c r="C172" s="3">
        <v>8949</v>
      </c>
      <c r="D172" s="3">
        <v>0.157</v>
      </c>
      <c r="E172" s="3">
        <v>84.7</v>
      </c>
      <c r="F172" s="3">
        <f>Cleaned_data!O172</f>
        <v>4.9000000000000004</v>
      </c>
      <c r="G172" s="3">
        <v>21</v>
      </c>
      <c r="H172" s="3">
        <v>0</v>
      </c>
      <c r="I172" s="3">
        <f>Dummy_variables!S172</f>
        <v>0</v>
      </c>
      <c r="J172" s="3">
        <f>Dummy_variables!T172</f>
        <v>0</v>
      </c>
      <c r="K172" s="3">
        <f>Dummy_variables!U172</f>
        <v>1</v>
      </c>
      <c r="M172">
        <v>134</v>
      </c>
      <c r="N172">
        <v>455495.31683400582</v>
      </c>
      <c r="O172">
        <v>-54663.666834005795</v>
      </c>
    </row>
    <row r="173" spans="1:15" ht="14.45">
      <c r="A173" s="3">
        <v>679731.57</v>
      </c>
      <c r="B173" s="3">
        <v>36606.51</v>
      </c>
      <c r="C173" s="3">
        <v>7671</v>
      </c>
      <c r="D173" s="3">
        <v>0.11799999999999999</v>
      </c>
      <c r="E173" s="3">
        <v>89.8</v>
      </c>
      <c r="F173" s="3">
        <f>Cleaned_data!O173</f>
        <v>4.4000000000000004</v>
      </c>
      <c r="G173" s="3">
        <v>18</v>
      </c>
      <c r="H173" s="3">
        <v>0</v>
      </c>
      <c r="I173" s="3">
        <f>Dummy_variables!S173</f>
        <v>0</v>
      </c>
      <c r="J173" s="3">
        <f>Dummy_variables!T173</f>
        <v>0</v>
      </c>
      <c r="K173" s="3">
        <f>Dummy_variables!U173</f>
        <v>1</v>
      </c>
      <c r="M173">
        <v>135</v>
      </c>
      <c r="N173">
        <v>624074.01435755671</v>
      </c>
      <c r="O173">
        <v>-30826.764357556705</v>
      </c>
    </row>
    <row r="174" spans="1:15" ht="14.45">
      <c r="A174" s="3">
        <v>780344.18</v>
      </c>
      <c r="B174" s="3">
        <v>65237.79</v>
      </c>
      <c r="C174" s="3">
        <v>8741</v>
      </c>
      <c r="D174" s="3">
        <v>0.157</v>
      </c>
      <c r="E174" s="3">
        <v>94.4</v>
      </c>
      <c r="F174" s="3">
        <f>Cleaned_data!O174</f>
        <v>3.3</v>
      </c>
      <c r="G174" s="3">
        <v>20</v>
      </c>
      <c r="H174" s="3">
        <v>0</v>
      </c>
      <c r="I174" s="3">
        <f>Dummy_variables!S174</f>
        <v>0</v>
      </c>
      <c r="J174" s="3">
        <f>Dummy_variables!T174</f>
        <v>0</v>
      </c>
      <c r="K174" s="3">
        <f>Dummy_variables!U174</f>
        <v>1</v>
      </c>
      <c r="M174">
        <v>136</v>
      </c>
      <c r="N174">
        <v>552812.2190092348</v>
      </c>
      <c r="O174">
        <v>-23736.269009234849</v>
      </c>
    </row>
    <row r="175" spans="1:15" ht="14.45">
      <c r="A175" s="3">
        <v>721364.11</v>
      </c>
      <c r="B175" s="3">
        <v>43645.98</v>
      </c>
      <c r="C175" s="3">
        <v>9480</v>
      </c>
      <c r="D175" s="3">
        <v>0.109</v>
      </c>
      <c r="E175" s="3">
        <v>89</v>
      </c>
      <c r="F175" s="3">
        <f>Cleaned_data!O175</f>
        <v>3.1</v>
      </c>
      <c r="G175" s="3">
        <v>22</v>
      </c>
      <c r="H175" s="3">
        <v>0</v>
      </c>
      <c r="I175" s="3">
        <f>Dummy_variables!S175</f>
        <v>0</v>
      </c>
      <c r="J175" s="3">
        <f>Dummy_variables!T175</f>
        <v>0</v>
      </c>
      <c r="K175" s="3">
        <f>Dummy_variables!U175</f>
        <v>1</v>
      </c>
      <c r="M175">
        <v>137</v>
      </c>
      <c r="N175">
        <v>695382.7212917594</v>
      </c>
      <c r="O175">
        <v>-61744.691291759373</v>
      </c>
    </row>
    <row r="176" spans="1:15" ht="14.45">
      <c r="A176" s="3">
        <v>758138.29</v>
      </c>
      <c r="B176" s="3">
        <v>68040.149999999994</v>
      </c>
      <c r="C176" s="3">
        <v>9826</v>
      </c>
      <c r="D176" s="3">
        <v>0.125</v>
      </c>
      <c r="E176" s="3">
        <v>83.9</v>
      </c>
      <c r="F176" s="3">
        <f>Cleaned_data!O176</f>
        <v>3.6</v>
      </c>
      <c r="G176" s="3">
        <v>20</v>
      </c>
      <c r="H176" s="3">
        <v>0</v>
      </c>
      <c r="I176" s="3">
        <f>Dummy_variables!S176</f>
        <v>0</v>
      </c>
      <c r="J176" s="3">
        <f>Dummy_variables!T176</f>
        <v>0</v>
      </c>
      <c r="K176" s="3">
        <f>Dummy_variables!U176</f>
        <v>1</v>
      </c>
      <c r="M176">
        <v>138</v>
      </c>
      <c r="N176">
        <v>694697.34375450516</v>
      </c>
      <c r="O176">
        <v>48651.496245494811</v>
      </c>
    </row>
    <row r="177" spans="1:15" ht="14.45">
      <c r="A177" s="3">
        <v>804264</v>
      </c>
      <c r="B177" s="3">
        <v>63043.94</v>
      </c>
      <c r="C177" s="3">
        <v>10402</v>
      </c>
      <c r="D177" s="3">
        <v>0.159</v>
      </c>
      <c r="E177" s="3">
        <v>93.9</v>
      </c>
      <c r="F177" s="3">
        <f>Cleaned_data!O177</f>
        <v>3.1</v>
      </c>
      <c r="G177" s="3">
        <v>23</v>
      </c>
      <c r="H177" s="3">
        <v>0</v>
      </c>
      <c r="I177" s="3">
        <f>Dummy_variables!S177</f>
        <v>0</v>
      </c>
      <c r="J177" s="3">
        <f>Dummy_variables!T177</f>
        <v>0</v>
      </c>
      <c r="K177" s="3">
        <f>Dummy_variables!U177</f>
        <v>1</v>
      </c>
      <c r="M177">
        <v>139</v>
      </c>
      <c r="N177">
        <v>690747.26485463418</v>
      </c>
      <c r="O177">
        <v>68080.375145365833</v>
      </c>
    </row>
    <row r="178" spans="1:15" ht="14.45">
      <c r="A178" s="3">
        <v>887537.75</v>
      </c>
      <c r="B178" s="3">
        <v>67494.09</v>
      </c>
      <c r="C178" s="3">
        <v>12361</v>
      </c>
      <c r="D178" s="3">
        <v>4.5999999999999999E-2</v>
      </c>
      <c r="E178" s="3">
        <v>76.599999999999994</v>
      </c>
      <c r="F178" s="3">
        <f>Cleaned_data!O178</f>
        <v>3.7</v>
      </c>
      <c r="G178" s="3">
        <v>24</v>
      </c>
      <c r="H178" s="3">
        <v>1</v>
      </c>
      <c r="I178" s="3">
        <f>Dummy_variables!S178</f>
        <v>0</v>
      </c>
      <c r="J178" s="3">
        <f>Dummy_variables!T178</f>
        <v>0</v>
      </c>
      <c r="K178" s="3">
        <f>Dummy_variables!U178</f>
        <v>0</v>
      </c>
      <c r="M178">
        <v>140</v>
      </c>
      <c r="N178">
        <v>598608.50772748794</v>
      </c>
      <c r="O178">
        <v>47951.202272512019</v>
      </c>
    </row>
    <row r="179" spans="1:15" ht="14.45">
      <c r="A179" s="3">
        <v>783582</v>
      </c>
      <c r="B179" s="3">
        <v>29389.32</v>
      </c>
      <c r="C179" s="3">
        <v>7925</v>
      </c>
      <c r="D179" s="3">
        <v>0.17699999999999999</v>
      </c>
      <c r="E179" s="3">
        <v>90.9</v>
      </c>
      <c r="F179" s="3">
        <f>Cleaned_data!O179</f>
        <v>4</v>
      </c>
      <c r="G179" s="3">
        <v>21</v>
      </c>
      <c r="H179" s="3">
        <v>0</v>
      </c>
      <c r="I179" s="3">
        <f>Dummy_variables!S179</f>
        <v>0</v>
      </c>
      <c r="J179" s="3">
        <f>Dummy_variables!T179</f>
        <v>0</v>
      </c>
      <c r="K179" s="3">
        <f>Dummy_variables!U179</f>
        <v>0</v>
      </c>
      <c r="M179">
        <v>141</v>
      </c>
      <c r="N179">
        <v>665797.76881182077</v>
      </c>
      <c r="O179">
        <v>50092.761188179255</v>
      </c>
    </row>
    <row r="180" spans="1:15" ht="14.45">
      <c r="A180" s="3">
        <v>781955.52</v>
      </c>
      <c r="B180" s="3">
        <v>40535.089999999997</v>
      </c>
      <c r="C180" s="3">
        <v>8870</v>
      </c>
      <c r="D180" s="3">
        <v>4.1000000000000002E-2</v>
      </c>
      <c r="E180" s="3">
        <v>86.6</v>
      </c>
      <c r="F180" s="3">
        <f>Cleaned_data!O180</f>
        <v>4.0999999999999996</v>
      </c>
      <c r="G180" s="3">
        <v>21</v>
      </c>
      <c r="H180" s="3">
        <v>0</v>
      </c>
      <c r="I180" s="3">
        <f>Dummy_variables!S180</f>
        <v>0</v>
      </c>
      <c r="J180" s="3">
        <f>Dummy_variables!T180</f>
        <v>0</v>
      </c>
      <c r="K180" s="3">
        <f>Dummy_variables!U180</f>
        <v>0</v>
      </c>
      <c r="M180">
        <v>142</v>
      </c>
      <c r="N180">
        <v>698095.05260203965</v>
      </c>
      <c r="O180">
        <v>17002.517397960299</v>
      </c>
    </row>
    <row r="181" spans="1:15" ht="14.45">
      <c r="A181" s="3">
        <v>898031.04</v>
      </c>
      <c r="B181" s="3">
        <v>74881.56</v>
      </c>
      <c r="C181" s="3">
        <v>9999</v>
      </c>
      <c r="D181" s="3">
        <v>1.2999999999999999E-2</v>
      </c>
      <c r="E181" s="3">
        <v>89.6</v>
      </c>
      <c r="F181" s="3">
        <f>Cleaned_data!O181</f>
        <v>4.0999999999999996</v>
      </c>
      <c r="G181" s="3">
        <v>20</v>
      </c>
      <c r="H181" s="3">
        <v>0</v>
      </c>
      <c r="I181" s="3">
        <f>Dummy_variables!S181</f>
        <v>0</v>
      </c>
      <c r="J181" s="3">
        <f>Dummy_variables!T181</f>
        <v>0</v>
      </c>
      <c r="K181" s="3">
        <f>Dummy_variables!U181</f>
        <v>0</v>
      </c>
      <c r="M181">
        <v>143</v>
      </c>
      <c r="N181">
        <v>650989.67127034825</v>
      </c>
      <c r="O181">
        <v>31649.60872965178</v>
      </c>
    </row>
    <row r="182" spans="1:15" ht="14.45">
      <c r="A182" s="3">
        <v>855341.28</v>
      </c>
      <c r="B182" s="3">
        <v>68491.11</v>
      </c>
      <c r="C182" s="3">
        <v>11154</v>
      </c>
      <c r="D182" s="3">
        <v>1E-3</v>
      </c>
      <c r="E182" s="3">
        <v>89.4</v>
      </c>
      <c r="F182" s="3">
        <f>Cleaned_data!O182</f>
        <v>3.9</v>
      </c>
      <c r="G182" s="3">
        <v>24</v>
      </c>
      <c r="H182" s="3">
        <v>1</v>
      </c>
      <c r="I182" s="3">
        <f>Dummy_variables!S182</f>
        <v>0</v>
      </c>
      <c r="J182" s="3">
        <f>Dummy_variables!T182</f>
        <v>0</v>
      </c>
      <c r="K182" s="3">
        <f>Dummy_variables!U182</f>
        <v>1</v>
      </c>
      <c r="M182">
        <v>144</v>
      </c>
      <c r="N182">
        <v>683882.33656222373</v>
      </c>
      <c r="O182">
        <v>11216.173437776277</v>
      </c>
    </row>
    <row r="183" spans="1:15" ht="14.45">
      <c r="A183" s="3">
        <v>751393.88</v>
      </c>
      <c r="B183" s="3">
        <v>45209.25</v>
      </c>
      <c r="C183" s="3">
        <v>9287</v>
      </c>
      <c r="D183" s="3">
        <v>0.14099999999999999</v>
      </c>
      <c r="E183" s="3">
        <v>86.4</v>
      </c>
      <c r="F183" s="3">
        <f>Cleaned_data!O183</f>
        <v>3.6</v>
      </c>
      <c r="G183" s="3">
        <v>22</v>
      </c>
      <c r="H183" s="3">
        <v>0</v>
      </c>
      <c r="I183" s="3">
        <f>Dummy_variables!S183</f>
        <v>0</v>
      </c>
      <c r="J183" s="3">
        <f>Dummy_variables!T183</f>
        <v>0</v>
      </c>
      <c r="K183" s="3">
        <f>Dummy_variables!U183</f>
        <v>1</v>
      </c>
      <c r="M183">
        <v>145</v>
      </c>
      <c r="N183">
        <v>589286.54994327831</v>
      </c>
      <c r="O183">
        <v>-11553.979943278362</v>
      </c>
    </row>
    <row r="184" spans="1:15" ht="14.45">
      <c r="A184" s="3">
        <v>761077.08</v>
      </c>
      <c r="B184" s="3">
        <v>63010.23</v>
      </c>
      <c r="C184" s="3">
        <v>9812</v>
      </c>
      <c r="D184" s="3">
        <v>0.113</v>
      </c>
      <c r="E184" s="3">
        <v>76.8</v>
      </c>
      <c r="F184" s="3">
        <f>Cleaned_data!O184</f>
        <v>3.8</v>
      </c>
      <c r="G184" s="3">
        <v>24</v>
      </c>
      <c r="H184" s="3">
        <v>1</v>
      </c>
      <c r="I184" s="3">
        <f>Dummy_variables!S184</f>
        <v>0</v>
      </c>
      <c r="J184" s="3">
        <f>Dummy_variables!T184</f>
        <v>0</v>
      </c>
      <c r="K184" s="3">
        <f>Dummy_variables!U184</f>
        <v>1</v>
      </c>
      <c r="M184">
        <v>146</v>
      </c>
      <c r="N184">
        <v>564687.19615164434</v>
      </c>
      <c r="O184">
        <v>-27628.866151644383</v>
      </c>
    </row>
    <row r="185" spans="1:15" ht="14.45">
      <c r="A185" s="3">
        <v>819660.59</v>
      </c>
      <c r="B185" s="3">
        <v>57948.88</v>
      </c>
      <c r="C185" s="3">
        <v>10741</v>
      </c>
      <c r="D185" s="3">
        <v>7.0000000000000007E-2</v>
      </c>
      <c r="E185" s="3">
        <v>90.1</v>
      </c>
      <c r="F185" s="3">
        <f>Cleaned_data!O185</f>
        <v>3.1</v>
      </c>
      <c r="G185" s="3">
        <v>25</v>
      </c>
      <c r="H185" s="3">
        <v>0</v>
      </c>
      <c r="I185" s="3">
        <f>Dummy_variables!S185</f>
        <v>0</v>
      </c>
      <c r="J185" s="3">
        <f>Dummy_variables!T185</f>
        <v>0</v>
      </c>
      <c r="K185" s="3">
        <f>Dummy_variables!U185</f>
        <v>1</v>
      </c>
      <c r="M185">
        <v>147</v>
      </c>
      <c r="N185">
        <v>596458.72553330008</v>
      </c>
      <c r="O185">
        <v>5110.1444666999159</v>
      </c>
    </row>
    <row r="186" spans="1:15" ht="14.45">
      <c r="A186" s="3">
        <v>681855.56</v>
      </c>
      <c r="B186" s="3">
        <v>71941.62</v>
      </c>
      <c r="C186" s="3">
        <v>6084</v>
      </c>
      <c r="D186" s="3">
        <v>7.1999999999999995E-2</v>
      </c>
      <c r="E186" s="3">
        <v>93.7</v>
      </c>
      <c r="F186" s="3">
        <f>Cleaned_data!O186</f>
        <v>4.4000000000000004</v>
      </c>
      <c r="G186" s="3">
        <v>13</v>
      </c>
      <c r="H186" s="3">
        <v>0</v>
      </c>
      <c r="I186" s="3">
        <f>Dummy_variables!S186</f>
        <v>1</v>
      </c>
      <c r="J186" s="3">
        <f>Dummy_variables!T186</f>
        <v>0</v>
      </c>
      <c r="K186" s="3">
        <f>Dummy_variables!U186</f>
        <v>0</v>
      </c>
      <c r="M186">
        <v>148</v>
      </c>
      <c r="N186">
        <v>559703.52800470497</v>
      </c>
      <c r="O186">
        <v>11261.311995294993</v>
      </c>
    </row>
    <row r="187" spans="1:15" ht="14.45">
      <c r="A187" s="3">
        <v>678311.17</v>
      </c>
      <c r="B187" s="3">
        <v>57147.88</v>
      </c>
      <c r="C187" s="3">
        <v>5252</v>
      </c>
      <c r="D187" s="3">
        <v>0.161</v>
      </c>
      <c r="E187" s="3">
        <v>95.5</v>
      </c>
      <c r="F187" s="3">
        <f>Cleaned_data!O187</f>
        <v>4.4000000000000004</v>
      </c>
      <c r="G187" s="3">
        <v>15</v>
      </c>
      <c r="H187" s="3">
        <v>0</v>
      </c>
      <c r="I187" s="3">
        <f>Dummy_variables!S187</f>
        <v>1</v>
      </c>
      <c r="J187" s="3">
        <f>Dummy_variables!T187</f>
        <v>0</v>
      </c>
      <c r="K187" s="3">
        <f>Dummy_variables!U187</f>
        <v>0</v>
      </c>
      <c r="M187">
        <v>149</v>
      </c>
      <c r="N187">
        <v>655586.35720697709</v>
      </c>
      <c r="O187">
        <v>-41561.447206977056</v>
      </c>
    </row>
    <row r="188" spans="1:15" ht="14.45">
      <c r="A188" s="3">
        <v>765906.95</v>
      </c>
      <c r="B188" s="3">
        <v>48031.74</v>
      </c>
      <c r="C188" s="3">
        <v>6516</v>
      </c>
      <c r="D188" s="3">
        <v>6.7000000000000004E-2</v>
      </c>
      <c r="E188" s="3">
        <v>99</v>
      </c>
      <c r="F188" s="3">
        <f>Cleaned_data!O188</f>
        <v>4.3</v>
      </c>
      <c r="G188" s="3">
        <v>14</v>
      </c>
      <c r="H188" s="3">
        <v>1</v>
      </c>
      <c r="I188" s="3">
        <f>Dummy_variables!S188</f>
        <v>1</v>
      </c>
      <c r="J188" s="3">
        <f>Dummy_variables!T188</f>
        <v>0</v>
      </c>
      <c r="K188" s="3">
        <f>Dummy_variables!U188</f>
        <v>0</v>
      </c>
      <c r="M188">
        <v>150</v>
      </c>
      <c r="N188">
        <v>705483.92963507341</v>
      </c>
      <c r="O188">
        <v>7384.4203649265692</v>
      </c>
    </row>
    <row r="189" spans="1:15" ht="14.45">
      <c r="A189" s="3">
        <v>712546.38</v>
      </c>
      <c r="B189" s="3">
        <v>72784.800000000003</v>
      </c>
      <c r="C189" s="3">
        <v>7932</v>
      </c>
      <c r="D189" s="3">
        <v>9.4E-2</v>
      </c>
      <c r="E189" s="3">
        <v>74.900000000000006</v>
      </c>
      <c r="F189" s="3">
        <f>Cleaned_data!O189</f>
        <v>4.2</v>
      </c>
      <c r="G189" s="3">
        <v>20</v>
      </c>
      <c r="H189" s="3">
        <v>0</v>
      </c>
      <c r="I189" s="3">
        <f>Dummy_variables!S189</f>
        <v>1</v>
      </c>
      <c r="J189" s="3">
        <f>Dummy_variables!T189</f>
        <v>0</v>
      </c>
      <c r="K189" s="3">
        <f>Dummy_variables!U189</f>
        <v>0</v>
      </c>
      <c r="M189">
        <v>151</v>
      </c>
      <c r="N189">
        <v>670882.62117223663</v>
      </c>
      <c r="O189">
        <v>25861.528827763395</v>
      </c>
    </row>
    <row r="190" spans="1:15" ht="14.45">
      <c r="A190" s="3">
        <v>625993.82999999996</v>
      </c>
      <c r="B190" s="3">
        <v>71641.899999999994</v>
      </c>
      <c r="C190" s="3">
        <v>3506</v>
      </c>
      <c r="D190" s="3">
        <v>0</v>
      </c>
      <c r="E190" s="3">
        <v>86.4</v>
      </c>
      <c r="F190" s="3">
        <f>Cleaned_data!O190</f>
        <v>4.0999999999999996</v>
      </c>
      <c r="G190" s="3">
        <v>11</v>
      </c>
      <c r="H190" s="3">
        <v>0</v>
      </c>
      <c r="I190" s="3">
        <f>Dummy_variables!S190</f>
        <v>1</v>
      </c>
      <c r="J190" s="3">
        <f>Dummy_variables!T190</f>
        <v>0</v>
      </c>
      <c r="K190" s="3">
        <f>Dummy_variables!U190</f>
        <v>0</v>
      </c>
      <c r="M190">
        <v>152</v>
      </c>
      <c r="N190">
        <v>701154.60385531699</v>
      </c>
      <c r="O190">
        <v>24693.386144682998</v>
      </c>
    </row>
    <row r="191" spans="1:15" ht="14.45">
      <c r="A191" s="3">
        <v>550962.93000000005</v>
      </c>
      <c r="B191" s="3">
        <v>55788.61</v>
      </c>
      <c r="C191" s="3">
        <v>2312</v>
      </c>
      <c r="D191" s="3">
        <v>5.8000000000000003E-2</v>
      </c>
      <c r="E191" s="3">
        <v>91.3</v>
      </c>
      <c r="F191" s="3">
        <f>Cleaned_data!O191</f>
        <v>3.8</v>
      </c>
      <c r="G191" s="3">
        <v>10</v>
      </c>
      <c r="H191" s="3">
        <v>0</v>
      </c>
      <c r="I191" s="3">
        <f>Dummy_variables!S191</f>
        <v>1</v>
      </c>
      <c r="J191" s="3">
        <f>Dummy_variables!T191</f>
        <v>0</v>
      </c>
      <c r="K191" s="3">
        <f>Dummy_variables!U191</f>
        <v>0</v>
      </c>
      <c r="M191">
        <v>153</v>
      </c>
      <c r="N191">
        <v>807476.39209042233</v>
      </c>
      <c r="O191">
        <v>-22448.142090422334</v>
      </c>
    </row>
    <row r="192" spans="1:15" ht="14.45">
      <c r="A192" s="3">
        <v>443275.59</v>
      </c>
      <c r="B192" s="3">
        <v>37705.879999999997</v>
      </c>
      <c r="C192" s="3">
        <v>1268</v>
      </c>
      <c r="D192" s="3">
        <v>0.25900000000000001</v>
      </c>
      <c r="E192" s="3">
        <v>84.1</v>
      </c>
      <c r="F192" s="3">
        <f>Cleaned_data!O192</f>
        <v>3.8</v>
      </c>
      <c r="G192" s="3">
        <v>9</v>
      </c>
      <c r="H192" s="3">
        <v>0</v>
      </c>
      <c r="I192" s="3">
        <f>Dummy_variables!S192</f>
        <v>1</v>
      </c>
      <c r="J192" s="3">
        <f>Dummy_variables!T192</f>
        <v>0</v>
      </c>
      <c r="K192" s="3">
        <f>Dummy_variables!U192</f>
        <v>0</v>
      </c>
      <c r="M192">
        <v>154</v>
      </c>
      <c r="N192">
        <v>698153.50839861354</v>
      </c>
      <c r="O192">
        <v>339.16160138649866</v>
      </c>
    </row>
    <row r="193" spans="1:15" ht="14.45">
      <c r="A193" s="3">
        <v>554012.06999999995</v>
      </c>
      <c r="B193" s="3">
        <v>54966.18</v>
      </c>
      <c r="C193" s="3">
        <v>4423</v>
      </c>
      <c r="D193" s="3">
        <v>0.186</v>
      </c>
      <c r="E193" s="3">
        <v>88.7</v>
      </c>
      <c r="F193" s="3">
        <f>Cleaned_data!O193</f>
        <v>4.4000000000000004</v>
      </c>
      <c r="G193" s="3">
        <v>13</v>
      </c>
      <c r="H193" s="3">
        <v>0</v>
      </c>
      <c r="I193" s="3">
        <f>Dummy_variables!S193</f>
        <v>1</v>
      </c>
      <c r="J193" s="3">
        <f>Dummy_variables!T193</f>
        <v>0</v>
      </c>
      <c r="K193" s="3">
        <f>Dummy_variables!U193</f>
        <v>0</v>
      </c>
      <c r="M193">
        <v>155</v>
      </c>
      <c r="N193">
        <v>726559.30494599044</v>
      </c>
      <c r="O193">
        <v>-40729.064945990453</v>
      </c>
    </row>
    <row r="194" spans="1:15" ht="14.45">
      <c r="A194" s="3">
        <v>643428.85</v>
      </c>
      <c r="B194" s="3">
        <v>81796.740000000005</v>
      </c>
      <c r="C194" s="3">
        <v>6177</v>
      </c>
      <c r="D194" s="3">
        <v>0.16400000000000001</v>
      </c>
      <c r="E194" s="3">
        <v>87.9</v>
      </c>
      <c r="F194" s="3">
        <f>Cleaned_data!O194</f>
        <v>3.2</v>
      </c>
      <c r="G194" s="3">
        <v>14</v>
      </c>
      <c r="H194" s="3">
        <v>0</v>
      </c>
      <c r="I194" s="3">
        <f>Dummy_variables!S194</f>
        <v>0</v>
      </c>
      <c r="J194" s="3">
        <f>Dummy_variables!T194</f>
        <v>0</v>
      </c>
      <c r="K194" s="3">
        <f>Dummy_variables!U194</f>
        <v>1</v>
      </c>
      <c r="M194">
        <v>156</v>
      </c>
      <c r="N194">
        <v>713668.74705611181</v>
      </c>
      <c r="O194">
        <v>-11349.807056111866</v>
      </c>
    </row>
    <row r="195" spans="1:15" ht="14.45">
      <c r="A195" s="3">
        <v>611924.27</v>
      </c>
      <c r="B195" s="3">
        <v>51133.43</v>
      </c>
      <c r="C195" s="3">
        <v>5150</v>
      </c>
      <c r="D195" s="3">
        <v>0.15</v>
      </c>
      <c r="E195" s="3">
        <v>88.5</v>
      </c>
      <c r="F195" s="3">
        <f>Cleaned_data!O195</f>
        <v>3.2</v>
      </c>
      <c r="G195" s="3">
        <v>12</v>
      </c>
      <c r="H195" s="3">
        <v>0</v>
      </c>
      <c r="I195" s="3">
        <f>Dummy_variables!S195</f>
        <v>0</v>
      </c>
      <c r="J195" s="3">
        <f>Dummy_variables!T195</f>
        <v>0</v>
      </c>
      <c r="K195" s="3">
        <f>Dummy_variables!U195</f>
        <v>1</v>
      </c>
      <c r="M195">
        <v>157</v>
      </c>
      <c r="N195">
        <v>720394.96586668224</v>
      </c>
      <c r="O195">
        <v>-20316.645866682287</v>
      </c>
    </row>
    <row r="196" spans="1:15" ht="14.45">
      <c r="A196" s="3">
        <v>559422.02</v>
      </c>
      <c r="B196" s="3">
        <v>40220.18</v>
      </c>
      <c r="C196" s="3">
        <v>3783</v>
      </c>
      <c r="D196" s="3">
        <v>8.8999999999999996E-2</v>
      </c>
      <c r="E196" s="3">
        <v>86.6</v>
      </c>
      <c r="F196" s="3">
        <f>Cleaned_data!O196</f>
        <v>3.7</v>
      </c>
      <c r="G196" s="3">
        <v>14</v>
      </c>
      <c r="H196" s="3">
        <v>0</v>
      </c>
      <c r="I196" s="3">
        <f>Dummy_variables!S196</f>
        <v>0</v>
      </c>
      <c r="J196" s="3">
        <f>Dummy_variables!T196</f>
        <v>0</v>
      </c>
      <c r="K196" s="3">
        <f>Dummy_variables!U196</f>
        <v>1</v>
      </c>
      <c r="M196">
        <v>158</v>
      </c>
      <c r="N196">
        <v>623114.21574476094</v>
      </c>
      <c r="O196">
        <v>-21111.895744760986</v>
      </c>
    </row>
    <row r="197" spans="1:15" ht="14.45">
      <c r="A197" s="3">
        <v>449465.06</v>
      </c>
      <c r="B197" s="3">
        <v>41657.64</v>
      </c>
      <c r="C197" s="3">
        <v>3135</v>
      </c>
      <c r="D197" s="3">
        <v>0.22900000000000001</v>
      </c>
      <c r="E197" s="3">
        <v>85.4</v>
      </c>
      <c r="F197" s="3">
        <f>Cleaned_data!O197</f>
        <v>3.9</v>
      </c>
      <c r="G197" s="3">
        <v>7</v>
      </c>
      <c r="H197" s="3">
        <v>0</v>
      </c>
      <c r="I197" s="3">
        <f>Dummy_variables!S197</f>
        <v>0</v>
      </c>
      <c r="J197" s="3">
        <f>Dummy_variables!T197</f>
        <v>0</v>
      </c>
      <c r="K197" s="3">
        <f>Dummy_variables!U197</f>
        <v>1</v>
      </c>
      <c r="M197">
        <v>159</v>
      </c>
      <c r="N197">
        <v>655302.11517706164</v>
      </c>
      <c r="O197">
        <v>68913.954822938307</v>
      </c>
    </row>
    <row r="198" spans="1:15" ht="14.45">
      <c r="A198" s="3">
        <v>691447.43</v>
      </c>
      <c r="B198" s="3">
        <v>71851.45</v>
      </c>
      <c r="C198" s="3">
        <v>4970</v>
      </c>
      <c r="D198" s="3">
        <v>9.8000000000000004E-2</v>
      </c>
      <c r="E198" s="3">
        <v>89.6</v>
      </c>
      <c r="F198" s="3">
        <f>Cleaned_data!O198</f>
        <v>4.2</v>
      </c>
      <c r="G198" s="3">
        <v>11</v>
      </c>
      <c r="H198" s="3">
        <v>0</v>
      </c>
      <c r="I198" s="3">
        <f>Dummy_variables!S198</f>
        <v>0</v>
      </c>
      <c r="J198" s="3">
        <f>Dummy_variables!T198</f>
        <v>0</v>
      </c>
      <c r="K198" s="3">
        <f>Dummy_variables!U198</f>
        <v>1</v>
      </c>
      <c r="M198">
        <v>160</v>
      </c>
      <c r="N198">
        <v>566215.82273684582</v>
      </c>
      <c r="O198">
        <v>54757.207263154211</v>
      </c>
    </row>
    <row r="199" spans="1:15" ht="14.45">
      <c r="A199" s="3">
        <v>574066.61</v>
      </c>
      <c r="B199" s="3">
        <v>54002.83</v>
      </c>
      <c r="C199" s="3">
        <v>4366</v>
      </c>
      <c r="D199" s="3">
        <v>2.7E-2</v>
      </c>
      <c r="E199" s="3">
        <v>90.6</v>
      </c>
      <c r="F199" s="3">
        <f>Cleaned_data!O199</f>
        <v>4.5999999999999996</v>
      </c>
      <c r="G199" s="3">
        <v>15</v>
      </c>
      <c r="H199" s="3">
        <v>0</v>
      </c>
      <c r="I199" s="3">
        <f>Dummy_variables!S199</f>
        <v>0</v>
      </c>
      <c r="J199" s="3">
        <f>Dummy_variables!T199</f>
        <v>0</v>
      </c>
      <c r="K199" s="3">
        <f>Dummy_variables!U199</f>
        <v>1</v>
      </c>
      <c r="M199">
        <v>161</v>
      </c>
      <c r="N199">
        <v>696407.96016577771</v>
      </c>
      <c r="O199">
        <v>-45927.900165777653</v>
      </c>
    </row>
    <row r="200" spans="1:15" ht="14.45">
      <c r="A200" s="3">
        <v>578949.84</v>
      </c>
      <c r="B200" s="3">
        <v>54479.33</v>
      </c>
      <c r="C200" s="3">
        <v>5012</v>
      </c>
      <c r="D200" s="3">
        <v>0.28399999999999997</v>
      </c>
      <c r="E200" s="3">
        <v>86</v>
      </c>
      <c r="F200" s="3">
        <f>Cleaned_data!O200</f>
        <v>4.3</v>
      </c>
      <c r="G200" s="3">
        <v>13</v>
      </c>
      <c r="H200" s="3">
        <v>1</v>
      </c>
      <c r="I200" s="3">
        <f>Dummy_variables!S200</f>
        <v>0</v>
      </c>
      <c r="J200" s="3">
        <f>Dummy_variables!T200</f>
        <v>0</v>
      </c>
      <c r="K200" s="3">
        <f>Dummy_variables!U200</f>
        <v>1</v>
      </c>
      <c r="M200">
        <v>162</v>
      </c>
      <c r="N200">
        <v>715507.10291660787</v>
      </c>
      <c r="O200">
        <v>62791.777083392139</v>
      </c>
    </row>
    <row r="201" spans="1:15" ht="14.45">
      <c r="A201" s="3">
        <v>735786.64</v>
      </c>
      <c r="B201" s="3">
        <v>61391.8</v>
      </c>
      <c r="C201" s="3">
        <v>5575</v>
      </c>
      <c r="D201" s="3">
        <v>0.189</v>
      </c>
      <c r="E201" s="3">
        <v>90</v>
      </c>
      <c r="F201" s="3">
        <f>Cleaned_data!O201</f>
        <v>4.8</v>
      </c>
      <c r="G201" s="3">
        <v>18</v>
      </c>
      <c r="H201" s="3">
        <v>0</v>
      </c>
      <c r="I201" s="3">
        <f>Dummy_variables!S201</f>
        <v>0</v>
      </c>
      <c r="J201" s="3">
        <f>Dummy_variables!T201</f>
        <v>0</v>
      </c>
      <c r="K201" s="3">
        <f>Dummy_variables!U201</f>
        <v>1</v>
      </c>
      <c r="M201">
        <v>163</v>
      </c>
      <c r="N201">
        <v>675957.37224827963</v>
      </c>
      <c r="O201">
        <v>1139.3377517203335</v>
      </c>
    </row>
    <row r="202" spans="1:15" ht="14.45">
      <c r="A202" s="3">
        <v>598904.9</v>
      </c>
      <c r="B202" s="3">
        <v>22312.93</v>
      </c>
      <c r="C202" s="3">
        <v>5955</v>
      </c>
      <c r="D202" s="3">
        <v>0.123</v>
      </c>
      <c r="E202" s="3">
        <v>84.2</v>
      </c>
      <c r="F202" s="3">
        <f>Cleaned_data!O202</f>
        <v>4.5999999999999996</v>
      </c>
      <c r="G202" s="3">
        <v>13</v>
      </c>
      <c r="H202" s="3">
        <v>1</v>
      </c>
      <c r="I202" s="3">
        <f>Dummy_variables!S202</f>
        <v>0</v>
      </c>
      <c r="J202" s="3">
        <f>Dummy_variables!T202</f>
        <v>0</v>
      </c>
      <c r="K202" s="3">
        <f>Dummy_variables!U202</f>
        <v>0</v>
      </c>
      <c r="M202">
        <v>164</v>
      </c>
      <c r="N202">
        <v>714582.08057149756</v>
      </c>
      <c r="O202">
        <v>-22573.440571497544</v>
      </c>
    </row>
    <row r="203" spans="1:15" ht="14.45">
      <c r="A203" s="3">
        <v>787715.51</v>
      </c>
      <c r="B203" s="3">
        <v>78111.97</v>
      </c>
      <c r="C203" s="3">
        <v>6389</v>
      </c>
      <c r="D203" s="3">
        <v>0.15</v>
      </c>
      <c r="E203" s="3">
        <v>83.9</v>
      </c>
      <c r="F203" s="3">
        <f>Cleaned_data!O203</f>
        <v>4.8</v>
      </c>
      <c r="G203" s="3">
        <v>13</v>
      </c>
      <c r="H203" s="3">
        <v>0</v>
      </c>
      <c r="I203" s="3">
        <f>Dummy_variables!S203</f>
        <v>0</v>
      </c>
      <c r="J203" s="3">
        <f>Dummy_variables!T203</f>
        <v>0</v>
      </c>
      <c r="K203" s="3">
        <f>Dummy_variables!U203</f>
        <v>0</v>
      </c>
      <c r="M203">
        <v>165</v>
      </c>
      <c r="N203">
        <v>798055.29840834672</v>
      </c>
      <c r="O203">
        <v>27742.611591653316</v>
      </c>
    </row>
    <row r="204" spans="1:15" ht="14.45">
      <c r="A204" s="3">
        <v>607084.92000000004</v>
      </c>
      <c r="B204" s="3">
        <v>35203.230000000003</v>
      </c>
      <c r="C204" s="3">
        <v>6896</v>
      </c>
      <c r="D204" s="3">
        <v>3.2000000000000001E-2</v>
      </c>
      <c r="E204" s="3">
        <v>80.8</v>
      </c>
      <c r="F204" s="3">
        <f>Cleaned_data!O204</f>
        <v>5</v>
      </c>
      <c r="G204" s="3">
        <v>14</v>
      </c>
      <c r="H204" s="3">
        <v>1</v>
      </c>
      <c r="I204" s="3">
        <f>Dummy_variables!S204</f>
        <v>0</v>
      </c>
      <c r="J204" s="3">
        <f>Dummy_variables!T204</f>
        <v>0</v>
      </c>
      <c r="K204" s="3">
        <f>Dummy_variables!U204</f>
        <v>0</v>
      </c>
      <c r="M204">
        <v>166</v>
      </c>
      <c r="N204">
        <v>742366.58400394209</v>
      </c>
      <c r="O204">
        <v>-36081.064003942069</v>
      </c>
    </row>
    <row r="205" spans="1:15" ht="14.45">
      <c r="A205" s="3">
        <v>650795.49</v>
      </c>
      <c r="B205" s="3">
        <v>64104.28</v>
      </c>
      <c r="C205" s="3">
        <v>6015</v>
      </c>
      <c r="D205" s="3">
        <v>0.127</v>
      </c>
      <c r="E205" s="3">
        <v>88.7</v>
      </c>
      <c r="F205" s="3">
        <f>Cleaned_data!O205</f>
        <v>4</v>
      </c>
      <c r="G205" s="3">
        <v>15</v>
      </c>
      <c r="H205" s="3">
        <v>0</v>
      </c>
      <c r="I205" s="3">
        <f>Dummy_variables!S205</f>
        <v>0</v>
      </c>
      <c r="J205" s="3">
        <f>Dummy_variables!T205</f>
        <v>0</v>
      </c>
      <c r="K205" s="3">
        <f>Dummy_variables!U205</f>
        <v>0</v>
      </c>
      <c r="M205">
        <v>167</v>
      </c>
      <c r="N205">
        <v>678876.58094220131</v>
      </c>
      <c r="O205">
        <v>-13341.880942201358</v>
      </c>
    </row>
    <row r="206" spans="1:15" ht="14.45">
      <c r="A206" s="3">
        <v>825060.52</v>
      </c>
      <c r="B206" s="3">
        <v>92090.14</v>
      </c>
      <c r="C206" s="3">
        <v>9476</v>
      </c>
      <c r="D206" s="3">
        <v>7.0000000000000007E-2</v>
      </c>
      <c r="E206" s="3">
        <v>94.3</v>
      </c>
      <c r="F206" s="3">
        <f>Cleaned_data!O206</f>
        <v>3.7</v>
      </c>
      <c r="G206" s="3">
        <v>24</v>
      </c>
      <c r="H206" s="3">
        <v>0</v>
      </c>
      <c r="I206" s="3">
        <f>Dummy_variables!S206</f>
        <v>0</v>
      </c>
      <c r="J206" s="3">
        <f>Dummy_variables!T206</f>
        <v>1</v>
      </c>
      <c r="K206" s="3">
        <f>Dummy_variables!U206</f>
        <v>0</v>
      </c>
      <c r="M206">
        <v>168</v>
      </c>
      <c r="N206">
        <v>822007.41057909618</v>
      </c>
      <c r="O206">
        <v>-1278.1205790961394</v>
      </c>
    </row>
    <row r="207" spans="1:15" ht="14.45">
      <c r="A207" s="3">
        <v>795464.47</v>
      </c>
      <c r="B207" s="3">
        <v>54300.87</v>
      </c>
      <c r="C207" s="3">
        <v>7875</v>
      </c>
      <c r="D207" s="3">
        <v>0.107</v>
      </c>
      <c r="E207" s="3">
        <v>94.1</v>
      </c>
      <c r="F207" s="3">
        <f>Cleaned_data!O207</f>
        <v>3.7</v>
      </c>
      <c r="G207" s="3">
        <v>19</v>
      </c>
      <c r="H207" s="3">
        <v>0</v>
      </c>
      <c r="I207" s="3">
        <f>Dummy_variables!S207</f>
        <v>0</v>
      </c>
      <c r="J207" s="3">
        <f>Dummy_variables!T207</f>
        <v>1</v>
      </c>
      <c r="K207" s="3">
        <f>Dummy_variables!U207</f>
        <v>0</v>
      </c>
      <c r="M207">
        <v>169</v>
      </c>
      <c r="N207">
        <v>780889.93102284486</v>
      </c>
      <c r="O207">
        <v>-41058.201022844878</v>
      </c>
    </row>
    <row r="208" spans="1:15" ht="14.45">
      <c r="A208" s="3">
        <v>671868.59</v>
      </c>
      <c r="B208" s="3">
        <v>37983.35</v>
      </c>
      <c r="C208" s="3">
        <v>9283</v>
      </c>
      <c r="D208" s="3">
        <v>0.14899999999999999</v>
      </c>
      <c r="E208" s="3">
        <v>83.2</v>
      </c>
      <c r="F208" s="3">
        <f>Cleaned_data!O208</f>
        <v>3.7</v>
      </c>
      <c r="G208" s="3">
        <v>19</v>
      </c>
      <c r="H208" s="3">
        <v>0</v>
      </c>
      <c r="I208" s="3">
        <f>Dummy_variables!S208</f>
        <v>0</v>
      </c>
      <c r="J208" s="3">
        <f>Dummy_variables!T208</f>
        <v>1</v>
      </c>
      <c r="K208" s="3">
        <f>Dummy_variables!U208</f>
        <v>0</v>
      </c>
      <c r="M208">
        <v>170</v>
      </c>
      <c r="N208">
        <v>659533.59297725698</v>
      </c>
      <c r="O208">
        <v>-65896.452977256966</v>
      </c>
    </row>
    <row r="209" spans="1:15" ht="14.45">
      <c r="A209" s="3">
        <v>675917.63</v>
      </c>
      <c r="B209" s="3">
        <v>56413.83</v>
      </c>
      <c r="C209" s="3">
        <v>8303</v>
      </c>
      <c r="D209" s="3">
        <v>0.11600000000000001</v>
      </c>
      <c r="E209" s="3">
        <v>93.6</v>
      </c>
      <c r="F209" s="3">
        <f>Cleaned_data!O209</f>
        <v>3.7</v>
      </c>
      <c r="G209" s="3">
        <v>18</v>
      </c>
      <c r="H209" s="3">
        <v>0</v>
      </c>
      <c r="I209" s="3">
        <f>Dummy_variables!S209</f>
        <v>0</v>
      </c>
      <c r="J209" s="3">
        <f>Dummy_variables!T209</f>
        <v>1</v>
      </c>
      <c r="K209" s="3">
        <f>Dummy_variables!U209</f>
        <v>0</v>
      </c>
      <c r="M209">
        <v>171</v>
      </c>
      <c r="N209">
        <v>734191.67899082054</v>
      </c>
      <c r="O209">
        <v>35511.08100917947</v>
      </c>
    </row>
    <row r="210" spans="1:15" ht="14.45">
      <c r="A210" s="3">
        <v>810446.53</v>
      </c>
      <c r="B210" s="3">
        <v>63457.19</v>
      </c>
      <c r="C210" s="3">
        <v>10125</v>
      </c>
      <c r="D210" s="3">
        <v>9.7000000000000003E-2</v>
      </c>
      <c r="E210" s="3">
        <v>87</v>
      </c>
      <c r="F210" s="3">
        <f>Cleaned_data!O210</f>
        <v>3.7</v>
      </c>
      <c r="G210" s="3">
        <v>24</v>
      </c>
      <c r="H210" s="3">
        <v>1</v>
      </c>
      <c r="I210" s="3">
        <f>Dummy_variables!S210</f>
        <v>1</v>
      </c>
      <c r="J210" s="3">
        <f>Dummy_variables!T210</f>
        <v>0</v>
      </c>
      <c r="K210" s="3">
        <f>Dummy_variables!U210</f>
        <v>0</v>
      </c>
      <c r="M210">
        <v>172</v>
      </c>
      <c r="N210">
        <v>684991.15378177771</v>
      </c>
      <c r="O210">
        <v>-5259.5837817777647</v>
      </c>
    </row>
    <row r="211" spans="1:15" ht="14.45">
      <c r="A211" s="3">
        <v>691288.19</v>
      </c>
      <c r="B211" s="3">
        <v>62949.7</v>
      </c>
      <c r="C211" s="3">
        <v>9458</v>
      </c>
      <c r="D211" s="3">
        <v>0.17100000000000001</v>
      </c>
      <c r="E211" s="3">
        <v>84.9</v>
      </c>
      <c r="F211" s="3">
        <f>Cleaned_data!O211</f>
        <v>3.3</v>
      </c>
      <c r="G211" s="3">
        <v>19</v>
      </c>
      <c r="H211" s="3">
        <v>0</v>
      </c>
      <c r="I211" s="3">
        <f>Dummy_variables!S211</f>
        <v>1</v>
      </c>
      <c r="J211" s="3">
        <f>Dummy_variables!T211</f>
        <v>0</v>
      </c>
      <c r="K211" s="3">
        <f>Dummy_variables!U211</f>
        <v>0</v>
      </c>
      <c r="M211">
        <v>173</v>
      </c>
      <c r="N211">
        <v>752108.09663133242</v>
      </c>
      <c r="O211">
        <v>28236.083368667634</v>
      </c>
    </row>
    <row r="212" spans="1:15" ht="14.45">
      <c r="A212" s="3">
        <v>946833.54</v>
      </c>
      <c r="B212" s="3">
        <v>107970.19</v>
      </c>
      <c r="C212" s="3">
        <v>12870</v>
      </c>
      <c r="D212" s="3">
        <v>2.9000000000000001E-2</v>
      </c>
      <c r="E212" s="3">
        <v>91.7</v>
      </c>
      <c r="F212" s="3">
        <f>Cleaned_data!O212</f>
        <v>3.7</v>
      </c>
      <c r="G212" s="3">
        <v>31</v>
      </c>
      <c r="H212" s="3">
        <v>1</v>
      </c>
      <c r="I212" s="3">
        <f>Dummy_variables!S212</f>
        <v>1</v>
      </c>
      <c r="J212" s="3">
        <f>Dummy_variables!T212</f>
        <v>0</v>
      </c>
      <c r="K212" s="3">
        <f>Dummy_variables!U212</f>
        <v>0</v>
      </c>
      <c r="M212">
        <v>174</v>
      </c>
      <c r="N212">
        <v>738139.8740008648</v>
      </c>
      <c r="O212">
        <v>-16775.764000864816</v>
      </c>
    </row>
    <row r="213" spans="1:15" ht="14.45">
      <c r="A213" s="3">
        <v>761963.23</v>
      </c>
      <c r="B213" s="3">
        <v>49405.75</v>
      </c>
      <c r="C213" s="3">
        <v>9752</v>
      </c>
      <c r="D213" s="3">
        <v>9.2999999999999999E-2</v>
      </c>
      <c r="E213" s="3">
        <v>87</v>
      </c>
      <c r="F213" s="3">
        <f>Cleaned_data!O213</f>
        <v>4.0999999999999996</v>
      </c>
      <c r="G213" s="3">
        <v>21</v>
      </c>
      <c r="H213" s="3">
        <v>0</v>
      </c>
      <c r="I213" s="3">
        <f>Dummy_variables!S213</f>
        <v>1</v>
      </c>
      <c r="J213" s="3">
        <f>Dummy_variables!T213</f>
        <v>0</v>
      </c>
      <c r="K213" s="3">
        <f>Dummy_variables!U213</f>
        <v>0</v>
      </c>
      <c r="M213">
        <v>175</v>
      </c>
      <c r="N213">
        <v>758913.45596599532</v>
      </c>
      <c r="O213">
        <v>-775.16596599528566</v>
      </c>
    </row>
    <row r="214" spans="1:15" ht="14.45">
      <c r="A214" s="3">
        <v>812152.6</v>
      </c>
      <c r="B214" s="3">
        <v>50887.46</v>
      </c>
      <c r="C214" s="3">
        <v>9505</v>
      </c>
      <c r="D214" s="3">
        <v>9.0999999999999998E-2</v>
      </c>
      <c r="E214" s="3">
        <v>89.7</v>
      </c>
      <c r="F214" s="3">
        <f>Cleaned_data!O214</f>
        <v>4.3</v>
      </c>
      <c r="G214" s="3">
        <v>25</v>
      </c>
      <c r="H214" s="3">
        <v>0</v>
      </c>
      <c r="I214" s="3">
        <f>Dummy_variables!S214</f>
        <v>0</v>
      </c>
      <c r="J214" s="3">
        <f>Dummy_variables!T214</f>
        <v>0</v>
      </c>
      <c r="K214" s="3">
        <f>Dummy_variables!U214</f>
        <v>1</v>
      </c>
      <c r="M214">
        <v>176</v>
      </c>
      <c r="N214">
        <v>801230.76660758734</v>
      </c>
      <c r="O214">
        <v>3033.2333924126578</v>
      </c>
    </row>
    <row r="215" spans="1:15" ht="14.45">
      <c r="A215" s="3">
        <v>804975.5</v>
      </c>
      <c r="B215" s="3">
        <v>41819.449999999997</v>
      </c>
      <c r="C215" s="3">
        <v>9412</v>
      </c>
      <c r="D215" s="3">
        <v>0.15</v>
      </c>
      <c r="E215" s="3">
        <v>91</v>
      </c>
      <c r="F215" s="3">
        <f>Cleaned_data!O215</f>
        <v>4.2</v>
      </c>
      <c r="G215" s="3">
        <v>22</v>
      </c>
      <c r="H215" s="3">
        <v>0</v>
      </c>
      <c r="I215" s="3">
        <f>Dummy_variables!S215</f>
        <v>0</v>
      </c>
      <c r="J215" s="3">
        <f>Dummy_variables!T215</f>
        <v>0</v>
      </c>
      <c r="K215" s="3">
        <f>Dummy_variables!U215</f>
        <v>1</v>
      </c>
      <c r="M215">
        <v>177</v>
      </c>
      <c r="N215">
        <v>866306.25650802883</v>
      </c>
      <c r="O215">
        <v>21231.493491971167</v>
      </c>
    </row>
    <row r="216" spans="1:15" ht="14.45">
      <c r="A216" s="3">
        <v>752321.72</v>
      </c>
      <c r="B216" s="3">
        <v>35296.54</v>
      </c>
      <c r="C216" s="3">
        <v>9644</v>
      </c>
      <c r="D216" s="3">
        <v>0</v>
      </c>
      <c r="E216" s="3">
        <v>88</v>
      </c>
      <c r="F216" s="3">
        <f>Cleaned_data!O216</f>
        <v>4.7</v>
      </c>
      <c r="G216" s="3">
        <v>22</v>
      </c>
      <c r="H216" s="3">
        <v>0</v>
      </c>
      <c r="I216" s="3">
        <f>Dummy_variables!S216</f>
        <v>0</v>
      </c>
      <c r="J216" s="3">
        <f>Dummy_variables!T216</f>
        <v>0</v>
      </c>
      <c r="K216" s="3">
        <f>Dummy_variables!U216</f>
        <v>1</v>
      </c>
      <c r="M216">
        <v>178</v>
      </c>
      <c r="N216">
        <v>713810.99550069892</v>
      </c>
      <c r="O216">
        <v>69771.004499301082</v>
      </c>
    </row>
    <row r="217" spans="1:15" ht="14.45">
      <c r="A217" s="3">
        <v>836908.24</v>
      </c>
      <c r="B217" s="3">
        <v>47391.09</v>
      </c>
      <c r="C217" s="3">
        <v>11224</v>
      </c>
      <c r="D217" s="3">
        <v>0.14699999999999999</v>
      </c>
      <c r="E217" s="3">
        <v>88.4</v>
      </c>
      <c r="F217" s="3">
        <f>Cleaned_data!O217</f>
        <v>4.9000000000000004</v>
      </c>
      <c r="G217" s="3">
        <v>25</v>
      </c>
      <c r="H217" s="3">
        <v>0</v>
      </c>
      <c r="I217" s="3">
        <f>Dummy_variables!S217</f>
        <v>0</v>
      </c>
      <c r="J217" s="3">
        <f>Dummy_variables!T217</f>
        <v>0</v>
      </c>
      <c r="K217" s="3">
        <f>Dummy_variables!U217</f>
        <v>1</v>
      </c>
      <c r="M217">
        <v>179</v>
      </c>
      <c r="N217">
        <v>750929.48515311815</v>
      </c>
      <c r="O217">
        <v>31026.03484688187</v>
      </c>
    </row>
    <row r="218" spans="1:15" ht="14.45">
      <c r="A218" s="3">
        <v>674289.1</v>
      </c>
      <c r="B218" s="3">
        <v>69180.539999999994</v>
      </c>
      <c r="C218" s="3">
        <v>5394</v>
      </c>
      <c r="D218" s="3">
        <v>0.126</v>
      </c>
      <c r="E218" s="3">
        <v>82.9</v>
      </c>
      <c r="F218" s="3">
        <f>Cleaned_data!O218</f>
        <v>3.3</v>
      </c>
      <c r="G218" s="3">
        <v>12</v>
      </c>
      <c r="H218" s="3">
        <v>0</v>
      </c>
      <c r="I218" s="3">
        <f>Dummy_variables!S218</f>
        <v>0</v>
      </c>
      <c r="J218" s="3">
        <f>Dummy_variables!T218</f>
        <v>0</v>
      </c>
      <c r="K218" s="3">
        <f>Dummy_variables!U218</f>
        <v>0</v>
      </c>
      <c r="M218">
        <v>180</v>
      </c>
      <c r="N218">
        <v>830572.7070798307</v>
      </c>
      <c r="O218">
        <v>67458.332920169341</v>
      </c>
    </row>
    <row r="219" spans="1:15" ht="14.45">
      <c r="A219" s="3">
        <v>622892.42000000004</v>
      </c>
      <c r="B219" s="3">
        <v>33987.33</v>
      </c>
      <c r="C219" s="3">
        <v>5014</v>
      </c>
      <c r="D219" s="3">
        <v>0.246</v>
      </c>
      <c r="E219" s="3">
        <v>94.3</v>
      </c>
      <c r="F219" s="3">
        <f>Cleaned_data!O219</f>
        <v>3.9</v>
      </c>
      <c r="G219" s="3">
        <v>17</v>
      </c>
      <c r="H219" s="3">
        <v>0</v>
      </c>
      <c r="I219" s="3">
        <f>Dummy_variables!S219</f>
        <v>0</v>
      </c>
      <c r="J219" s="3">
        <f>Dummy_variables!T219</f>
        <v>0</v>
      </c>
      <c r="K219" s="3">
        <f>Dummy_variables!U219</f>
        <v>0</v>
      </c>
      <c r="M219">
        <v>181</v>
      </c>
      <c r="N219">
        <v>853179.29086387355</v>
      </c>
      <c r="O219">
        <v>2161.9891361264745</v>
      </c>
    </row>
    <row r="220" spans="1:15" ht="14.45">
      <c r="A220" s="3">
        <v>673348.56</v>
      </c>
      <c r="B220" s="3">
        <v>58785.33</v>
      </c>
      <c r="C220" s="3">
        <v>4467</v>
      </c>
      <c r="D220" s="3">
        <v>0.22900000000000001</v>
      </c>
      <c r="E220" s="3">
        <v>90.7</v>
      </c>
      <c r="F220" s="3">
        <f>Cleaned_data!O220</f>
        <v>3.7</v>
      </c>
      <c r="G220" s="3">
        <v>14</v>
      </c>
      <c r="H220" s="3">
        <v>0</v>
      </c>
      <c r="I220" s="3">
        <f>Dummy_variables!S220</f>
        <v>0</v>
      </c>
      <c r="J220" s="3">
        <f>Dummy_variables!T220</f>
        <v>0</v>
      </c>
      <c r="K220" s="3">
        <f>Dummy_variables!U220</f>
        <v>0</v>
      </c>
      <c r="M220">
        <v>182</v>
      </c>
      <c r="N220">
        <v>730385.28110265464</v>
      </c>
      <c r="O220">
        <v>21008.598897345364</v>
      </c>
    </row>
    <row r="221" spans="1:15" ht="14.45">
      <c r="A221" s="3">
        <v>606278.30000000005</v>
      </c>
      <c r="B221" s="3">
        <v>16451.849999999999</v>
      </c>
      <c r="C221" s="3">
        <v>4678</v>
      </c>
      <c r="D221" s="3">
        <v>0.13300000000000001</v>
      </c>
      <c r="E221" s="3">
        <v>95.9</v>
      </c>
      <c r="F221" s="3">
        <f>Cleaned_data!O221</f>
        <v>3.9</v>
      </c>
      <c r="G221" s="3">
        <v>11</v>
      </c>
      <c r="H221" s="3">
        <v>0</v>
      </c>
      <c r="I221" s="3">
        <f>Dummy_variables!S221</f>
        <v>0</v>
      </c>
      <c r="J221" s="3">
        <f>Dummy_variables!T221</f>
        <v>0</v>
      </c>
      <c r="K221" s="3">
        <f>Dummy_variables!U221</f>
        <v>0</v>
      </c>
      <c r="M221">
        <v>183</v>
      </c>
      <c r="N221">
        <v>760429.11701167235</v>
      </c>
      <c r="O221">
        <v>647.96298832760658</v>
      </c>
    </row>
    <row r="222" spans="1:15" ht="14.45">
      <c r="A222" s="3">
        <v>712219.81</v>
      </c>
      <c r="B222" s="3">
        <v>53367.73</v>
      </c>
      <c r="C222" s="3">
        <v>7291</v>
      </c>
      <c r="D222" s="3">
        <v>0.14599999999999999</v>
      </c>
      <c r="E222" s="3">
        <v>90.6</v>
      </c>
      <c r="F222" s="3">
        <f>Cleaned_data!O222</f>
        <v>3.8</v>
      </c>
      <c r="G222" s="3">
        <v>18</v>
      </c>
      <c r="H222" s="3">
        <v>1</v>
      </c>
      <c r="I222" s="3">
        <f>Dummy_variables!S222</f>
        <v>1</v>
      </c>
      <c r="J222" s="3">
        <f>Dummy_variables!T222</f>
        <v>0</v>
      </c>
      <c r="K222" s="3">
        <f>Dummy_variables!U222</f>
        <v>0</v>
      </c>
      <c r="M222">
        <v>184</v>
      </c>
      <c r="N222">
        <v>805799.76037975785</v>
      </c>
      <c r="O222">
        <v>13860.829620242119</v>
      </c>
    </row>
    <row r="223" spans="1:15" ht="14.45">
      <c r="A223" s="3">
        <v>672670.54</v>
      </c>
      <c r="B223" s="3">
        <v>27194.639999999999</v>
      </c>
      <c r="C223" s="3">
        <v>7404</v>
      </c>
      <c r="D223" s="3">
        <v>8.7999999999999995E-2</v>
      </c>
      <c r="E223" s="3">
        <v>90.2</v>
      </c>
      <c r="F223" s="3">
        <f>Cleaned_data!O223</f>
        <v>3.4</v>
      </c>
      <c r="G223" s="3">
        <v>18</v>
      </c>
      <c r="H223" s="3">
        <v>0</v>
      </c>
      <c r="I223" s="3">
        <f>Dummy_variables!S223</f>
        <v>1</v>
      </c>
      <c r="J223" s="3">
        <f>Dummy_variables!T223</f>
        <v>0</v>
      </c>
      <c r="K223" s="3">
        <f>Dummy_variables!U223</f>
        <v>0</v>
      </c>
      <c r="M223">
        <v>185</v>
      </c>
      <c r="N223">
        <v>707893.92740927869</v>
      </c>
      <c r="O223">
        <v>-26038.367409278639</v>
      </c>
    </row>
    <row r="224" spans="1:15" ht="14.45">
      <c r="A224" s="3">
        <v>732667.92</v>
      </c>
      <c r="B224" s="3">
        <v>66962.740000000005</v>
      </c>
      <c r="C224" s="3">
        <v>7880</v>
      </c>
      <c r="D224" s="3">
        <v>0.11600000000000001</v>
      </c>
      <c r="E224" s="3">
        <v>90.4</v>
      </c>
      <c r="F224" s="3">
        <f>Cleaned_data!O224</f>
        <v>3.3</v>
      </c>
      <c r="G224" s="3">
        <v>19</v>
      </c>
      <c r="H224" s="3">
        <v>0</v>
      </c>
      <c r="I224" s="3">
        <f>Dummy_variables!S224</f>
        <v>1</v>
      </c>
      <c r="J224" s="3">
        <f>Dummy_variables!T224</f>
        <v>0</v>
      </c>
      <c r="K224" s="3">
        <f>Dummy_variables!U224</f>
        <v>0</v>
      </c>
      <c r="M224">
        <v>186</v>
      </c>
      <c r="N224">
        <v>668402.45291815605</v>
      </c>
      <c r="O224">
        <v>9908.7170818439918</v>
      </c>
    </row>
    <row r="225" spans="1:15" ht="14.45">
      <c r="A225" s="3">
        <v>723531.4</v>
      </c>
      <c r="B225" s="3">
        <v>73540.990000000005</v>
      </c>
      <c r="C225" s="3">
        <v>8773</v>
      </c>
      <c r="D225" s="3">
        <v>3.5000000000000003E-2</v>
      </c>
      <c r="E225" s="3">
        <v>84.4</v>
      </c>
      <c r="F225" s="3">
        <f>Cleaned_data!O225</f>
        <v>3.6</v>
      </c>
      <c r="G225" s="3">
        <v>21</v>
      </c>
      <c r="H225" s="3">
        <v>0</v>
      </c>
      <c r="I225" s="3">
        <f>Dummy_variables!S225</f>
        <v>1</v>
      </c>
      <c r="J225" s="3">
        <f>Dummy_variables!T225</f>
        <v>0</v>
      </c>
      <c r="K225" s="3">
        <f>Dummy_variables!U225</f>
        <v>0</v>
      </c>
      <c r="M225">
        <v>187</v>
      </c>
      <c r="N225">
        <v>720337.15707086236</v>
      </c>
      <c r="O225">
        <v>45569.792929137591</v>
      </c>
    </row>
    <row r="226" spans="1:15" ht="14.45">
      <c r="A226" s="3">
        <v>641564.6</v>
      </c>
      <c r="B226" s="3">
        <v>68212.289999999994</v>
      </c>
      <c r="C226" s="3">
        <v>4713</v>
      </c>
      <c r="D226" s="3">
        <v>0.19800000000000001</v>
      </c>
      <c r="E226" s="3">
        <v>82.6</v>
      </c>
      <c r="F226" s="3">
        <f>Cleaned_data!O226</f>
        <v>3</v>
      </c>
      <c r="G226" s="3">
        <v>15</v>
      </c>
      <c r="H226" s="3">
        <v>1</v>
      </c>
      <c r="I226" s="3">
        <f>Dummy_variables!S226</f>
        <v>0</v>
      </c>
      <c r="J226" s="3">
        <f>Dummy_variables!T226</f>
        <v>1</v>
      </c>
      <c r="K226" s="3">
        <f>Dummy_variables!U226</f>
        <v>0</v>
      </c>
      <c r="M226">
        <v>188</v>
      </c>
      <c r="N226">
        <v>715195.48004272697</v>
      </c>
      <c r="O226">
        <v>-2649.100042726961</v>
      </c>
    </row>
    <row r="227" spans="1:15" ht="14.45">
      <c r="A227" s="3">
        <v>536545.49</v>
      </c>
      <c r="B227" s="3">
        <v>57225.98</v>
      </c>
      <c r="C227" s="3">
        <v>2842</v>
      </c>
      <c r="D227" s="3">
        <v>0.112</v>
      </c>
      <c r="E227" s="3">
        <v>79.5</v>
      </c>
      <c r="F227" s="3">
        <f>Cleaned_data!O227</f>
        <v>3.4</v>
      </c>
      <c r="G227" s="3">
        <v>10</v>
      </c>
      <c r="H227" s="3">
        <v>0</v>
      </c>
      <c r="I227" s="3">
        <f>Dummy_variables!S227</f>
        <v>0</v>
      </c>
      <c r="J227" s="3">
        <f>Dummy_variables!T227</f>
        <v>1</v>
      </c>
      <c r="K227" s="3">
        <f>Dummy_variables!U227</f>
        <v>0</v>
      </c>
      <c r="M227">
        <v>189</v>
      </c>
      <c r="N227">
        <v>603344.95249174139</v>
      </c>
      <c r="O227">
        <v>22648.877508258563</v>
      </c>
    </row>
    <row r="228" spans="1:15" ht="14.45">
      <c r="A228" s="3">
        <v>527681.56000000006</v>
      </c>
      <c r="B228" s="3">
        <v>42932.02</v>
      </c>
      <c r="C228" s="3">
        <v>3872</v>
      </c>
      <c r="D228" s="3">
        <v>0.17100000000000001</v>
      </c>
      <c r="E228" s="3">
        <v>83.2</v>
      </c>
      <c r="F228" s="3">
        <f>Cleaned_data!O228</f>
        <v>3.3</v>
      </c>
      <c r="G228" s="3">
        <v>12</v>
      </c>
      <c r="H228" s="3">
        <v>0</v>
      </c>
      <c r="I228" s="3">
        <f>Dummy_variables!S228</f>
        <v>0</v>
      </c>
      <c r="J228" s="3">
        <f>Dummy_variables!T228</f>
        <v>1</v>
      </c>
      <c r="K228" s="3">
        <f>Dummy_variables!U228</f>
        <v>0</v>
      </c>
      <c r="M228">
        <v>190</v>
      </c>
      <c r="N228">
        <v>555721.37731902243</v>
      </c>
      <c r="O228">
        <v>-4758.4473190223798</v>
      </c>
    </row>
    <row r="229" spans="1:15" ht="14.45">
      <c r="A229" s="3">
        <v>529598.93999999994</v>
      </c>
      <c r="B229" s="3">
        <v>39341.449999999997</v>
      </c>
      <c r="C229" s="3">
        <v>1375</v>
      </c>
      <c r="D229" s="3">
        <v>9.2999999999999999E-2</v>
      </c>
      <c r="E229" s="3">
        <v>95</v>
      </c>
      <c r="F229" s="3">
        <f>Cleaned_data!O229</f>
        <v>3.9</v>
      </c>
      <c r="G229" s="3">
        <v>5</v>
      </c>
      <c r="H229" s="3">
        <v>0</v>
      </c>
      <c r="I229" s="3">
        <f>Dummy_variables!S229</f>
        <v>0</v>
      </c>
      <c r="J229" s="3">
        <f>Dummy_variables!T229</f>
        <v>1</v>
      </c>
      <c r="K229" s="3">
        <f>Dummy_variables!U229</f>
        <v>0</v>
      </c>
      <c r="M229">
        <v>191</v>
      </c>
      <c r="N229">
        <v>465087.37682714948</v>
      </c>
      <c r="O229">
        <v>-21811.786827149452</v>
      </c>
    </row>
    <row r="230" spans="1:15" ht="14.45">
      <c r="A230" s="3">
        <v>570963.31000000006</v>
      </c>
      <c r="B230" s="3">
        <v>37324.230000000003</v>
      </c>
      <c r="C230" s="3">
        <v>5957</v>
      </c>
      <c r="D230" s="3">
        <v>7.0999999999999994E-2</v>
      </c>
      <c r="E230" s="3">
        <v>85.9</v>
      </c>
      <c r="F230" s="3">
        <f>Cleaned_data!O230</f>
        <v>3.8</v>
      </c>
      <c r="G230" s="3">
        <v>12</v>
      </c>
      <c r="H230" s="3">
        <v>0</v>
      </c>
      <c r="I230" s="3">
        <f>Dummy_variables!S230</f>
        <v>1</v>
      </c>
      <c r="J230" s="3">
        <f>Dummy_variables!T230</f>
        <v>0</v>
      </c>
      <c r="K230" s="3">
        <f>Dummy_variables!U230</f>
        <v>0</v>
      </c>
      <c r="M230">
        <v>192</v>
      </c>
      <c r="N230">
        <v>613243.74245743675</v>
      </c>
      <c r="O230">
        <v>-59231.672457436798</v>
      </c>
    </row>
    <row r="231" spans="1:15" ht="14.45">
      <c r="A231" s="3">
        <v>870937.4</v>
      </c>
      <c r="B231" s="3">
        <v>113736</v>
      </c>
      <c r="C231" s="3">
        <v>8961</v>
      </c>
      <c r="D231" s="3">
        <v>0.20200000000000001</v>
      </c>
      <c r="E231" s="3">
        <v>86.2</v>
      </c>
      <c r="F231" s="3">
        <f>Cleaned_data!O231</f>
        <v>4</v>
      </c>
      <c r="G231" s="3">
        <v>24</v>
      </c>
      <c r="H231" s="3">
        <v>0</v>
      </c>
      <c r="I231" s="3">
        <f>Dummy_variables!S231</f>
        <v>1</v>
      </c>
      <c r="J231" s="3">
        <f>Dummy_variables!T231</f>
        <v>0</v>
      </c>
      <c r="K231" s="3">
        <f>Dummy_variables!U231</f>
        <v>0</v>
      </c>
      <c r="M231">
        <v>193</v>
      </c>
      <c r="N231">
        <v>653996.62453574094</v>
      </c>
      <c r="O231">
        <v>-10567.774535740959</v>
      </c>
    </row>
    <row r="232" spans="1:15" ht="14.45">
      <c r="A232" s="3">
        <v>596969.27</v>
      </c>
      <c r="B232" s="3">
        <v>33173.949999999997</v>
      </c>
      <c r="C232" s="3">
        <v>6545</v>
      </c>
      <c r="D232" s="3">
        <v>0.16900000000000001</v>
      </c>
      <c r="E232" s="3">
        <v>84.4</v>
      </c>
      <c r="F232" s="3">
        <f>Cleaned_data!O232</f>
        <v>3.9</v>
      </c>
      <c r="G232" s="3">
        <v>15</v>
      </c>
      <c r="H232" s="3">
        <v>0</v>
      </c>
      <c r="I232" s="3">
        <f>Dummy_variables!S232</f>
        <v>1</v>
      </c>
      <c r="J232" s="3">
        <f>Dummy_variables!T232</f>
        <v>0</v>
      </c>
      <c r="K232" s="3">
        <f>Dummy_variables!U232</f>
        <v>0</v>
      </c>
      <c r="M232">
        <v>194</v>
      </c>
      <c r="N232">
        <v>590834.40234294033</v>
      </c>
      <c r="O232">
        <v>21089.867657059687</v>
      </c>
    </row>
    <row r="233" spans="1:15" ht="14.45">
      <c r="A233" s="3">
        <v>647512.85</v>
      </c>
      <c r="B233" s="3">
        <v>25818.080000000002</v>
      </c>
      <c r="C233" s="3">
        <v>5457</v>
      </c>
      <c r="D233" s="3">
        <v>0</v>
      </c>
      <c r="E233" s="3">
        <v>95.4</v>
      </c>
      <c r="F233" s="3">
        <f>Cleaned_data!O233</f>
        <v>3.7</v>
      </c>
      <c r="G233" s="3">
        <v>11</v>
      </c>
      <c r="H233" s="3">
        <v>0</v>
      </c>
      <c r="I233" s="3">
        <f>Dummy_variables!S233</f>
        <v>1</v>
      </c>
      <c r="J233" s="3">
        <f>Dummy_variables!T233</f>
        <v>0</v>
      </c>
      <c r="K233" s="3">
        <f>Dummy_variables!U233</f>
        <v>0</v>
      </c>
      <c r="M233">
        <v>195</v>
      </c>
      <c r="N233">
        <v>551238.22866022529</v>
      </c>
      <c r="O233">
        <v>8183.7913397747325</v>
      </c>
    </row>
    <row r="234" spans="1:15" ht="14.45">
      <c r="A234" s="3">
        <v>658072.14</v>
      </c>
      <c r="B234" s="3">
        <v>47241.919999999998</v>
      </c>
      <c r="C234" s="3">
        <v>4264</v>
      </c>
      <c r="D234" s="3">
        <v>6.9000000000000006E-2</v>
      </c>
      <c r="E234" s="3">
        <v>95.3</v>
      </c>
      <c r="F234" s="3">
        <f>Cleaned_data!O234</f>
        <v>4.3</v>
      </c>
      <c r="G234" s="3">
        <v>13</v>
      </c>
      <c r="H234" s="3">
        <v>0</v>
      </c>
      <c r="I234" s="3">
        <f>Dummy_variables!S234</f>
        <v>0</v>
      </c>
      <c r="J234" s="3">
        <f>Dummy_variables!T234</f>
        <v>0</v>
      </c>
      <c r="K234" s="3">
        <f>Dummy_variables!U234</f>
        <v>1</v>
      </c>
      <c r="M234">
        <v>196</v>
      </c>
      <c r="N234">
        <v>499735.43491940177</v>
      </c>
      <c r="O234">
        <v>-50270.374919401773</v>
      </c>
    </row>
    <row r="235" spans="1:15" ht="14.45">
      <c r="A235" s="3">
        <v>723305.11</v>
      </c>
      <c r="B235" s="3">
        <v>61650.79</v>
      </c>
      <c r="C235" s="3">
        <v>5321</v>
      </c>
      <c r="D235" s="3">
        <v>0.126</v>
      </c>
      <c r="E235" s="3">
        <v>89.2</v>
      </c>
      <c r="F235" s="3">
        <f>Cleaned_data!O235</f>
        <v>4</v>
      </c>
      <c r="G235" s="3">
        <v>17</v>
      </c>
      <c r="H235" s="3">
        <v>0</v>
      </c>
      <c r="I235" s="3">
        <f>Dummy_variables!S235</f>
        <v>0</v>
      </c>
      <c r="J235" s="3">
        <f>Dummy_variables!T235</f>
        <v>0</v>
      </c>
      <c r="K235" s="3">
        <f>Dummy_variables!U235</f>
        <v>1</v>
      </c>
      <c r="M235">
        <v>197</v>
      </c>
      <c r="N235">
        <v>626564.02136648633</v>
      </c>
      <c r="O235">
        <v>64883.408633513725</v>
      </c>
    </row>
    <row r="236" spans="1:15" ht="14.45">
      <c r="A236" s="3">
        <v>640666.53</v>
      </c>
      <c r="B236" s="3">
        <v>62582.71</v>
      </c>
      <c r="C236" s="3">
        <v>5479</v>
      </c>
      <c r="D236" s="3">
        <v>4.8000000000000001E-2</v>
      </c>
      <c r="E236" s="3">
        <v>81.2</v>
      </c>
      <c r="F236" s="3">
        <f>Cleaned_data!O236</f>
        <v>4.5</v>
      </c>
      <c r="G236" s="3">
        <v>16</v>
      </c>
      <c r="H236" s="3">
        <v>0</v>
      </c>
      <c r="I236" s="3">
        <f>Dummy_variables!S236</f>
        <v>0</v>
      </c>
      <c r="J236" s="3">
        <f>Dummy_variables!T236</f>
        <v>0</v>
      </c>
      <c r="K236" s="3">
        <f>Dummy_variables!U236</f>
        <v>1</v>
      </c>
      <c r="M236">
        <v>198</v>
      </c>
      <c r="N236">
        <v>615128.63528699894</v>
      </c>
      <c r="O236">
        <v>-41062.025286998949</v>
      </c>
    </row>
    <row r="237" spans="1:15" ht="14.45">
      <c r="A237" s="3">
        <v>670629.48</v>
      </c>
      <c r="B237" s="3">
        <v>47944.14</v>
      </c>
      <c r="C237" s="3">
        <v>6169</v>
      </c>
      <c r="D237" s="3">
        <v>0.11899999999999999</v>
      </c>
      <c r="E237" s="3">
        <v>92.2</v>
      </c>
      <c r="F237" s="3">
        <f>Cleaned_data!O237</f>
        <v>4.0999999999999996</v>
      </c>
      <c r="G237" s="3">
        <v>17</v>
      </c>
      <c r="H237" s="3">
        <v>0</v>
      </c>
      <c r="I237" s="3">
        <f>Dummy_variables!S237</f>
        <v>0</v>
      </c>
      <c r="J237" s="3">
        <f>Dummy_variables!T237</f>
        <v>0</v>
      </c>
      <c r="K237" s="3">
        <f>Dummy_variables!U237</f>
        <v>1</v>
      </c>
      <c r="M237">
        <v>199</v>
      </c>
      <c r="N237">
        <v>604069.7046905834</v>
      </c>
      <c r="O237">
        <v>-25119.864690583432</v>
      </c>
    </row>
    <row r="238" spans="1:15" ht="14.45">
      <c r="A238" s="3">
        <v>721079.35</v>
      </c>
      <c r="B238" s="3">
        <v>46495.4</v>
      </c>
      <c r="C238" s="3">
        <v>9908</v>
      </c>
      <c r="D238" s="3">
        <v>0.121</v>
      </c>
      <c r="E238" s="3">
        <v>89.4</v>
      </c>
      <c r="F238" s="3">
        <f>Cleaned_data!O238</f>
        <v>3.7</v>
      </c>
      <c r="G238" s="3">
        <v>22</v>
      </c>
      <c r="H238" s="3">
        <v>0</v>
      </c>
      <c r="I238" s="3">
        <f>Dummy_variables!S238</f>
        <v>0</v>
      </c>
      <c r="J238" s="3">
        <f>Dummy_variables!T238</f>
        <v>1</v>
      </c>
      <c r="K238" s="3">
        <f>Dummy_variables!U238</f>
        <v>0</v>
      </c>
      <c r="M238">
        <v>200</v>
      </c>
      <c r="N238">
        <v>655725.24999995308</v>
      </c>
      <c r="O238">
        <v>80061.390000046929</v>
      </c>
    </row>
    <row r="239" spans="1:15" ht="14.45">
      <c r="A239" s="3">
        <v>810355.02</v>
      </c>
      <c r="B239" s="3">
        <v>72961.95</v>
      </c>
      <c r="C239" s="3">
        <v>9996</v>
      </c>
      <c r="D239" s="3">
        <v>0.106</v>
      </c>
      <c r="E239" s="3">
        <v>89.1</v>
      </c>
      <c r="F239" s="3">
        <f>Cleaned_data!O239</f>
        <v>3.4</v>
      </c>
      <c r="G239" s="3">
        <v>22</v>
      </c>
      <c r="H239" s="3">
        <v>0</v>
      </c>
      <c r="I239" s="3">
        <f>Dummy_variables!S239</f>
        <v>0</v>
      </c>
      <c r="J239" s="3">
        <f>Dummy_variables!T239</f>
        <v>1</v>
      </c>
      <c r="K239" s="3">
        <f>Dummy_variables!U239</f>
        <v>0</v>
      </c>
      <c r="M239">
        <v>201</v>
      </c>
      <c r="N239">
        <v>629537.91760405677</v>
      </c>
      <c r="O239">
        <v>-30633.017604056746</v>
      </c>
    </row>
    <row r="240" spans="1:15" ht="14.45">
      <c r="A240" s="3">
        <v>761919.25</v>
      </c>
      <c r="B240" s="3">
        <v>59060.05</v>
      </c>
      <c r="C240" s="3">
        <v>9702</v>
      </c>
      <c r="D240" s="3">
        <v>0.20100000000000001</v>
      </c>
      <c r="E240" s="3">
        <v>80.900000000000006</v>
      </c>
      <c r="F240" s="3">
        <f>Cleaned_data!O240</f>
        <v>3.2</v>
      </c>
      <c r="G240" s="3">
        <v>23</v>
      </c>
      <c r="H240" s="3">
        <v>0</v>
      </c>
      <c r="I240" s="3">
        <f>Dummy_variables!S240</f>
        <v>0</v>
      </c>
      <c r="J240" s="3">
        <f>Dummy_variables!T240</f>
        <v>1</v>
      </c>
      <c r="K240" s="3">
        <f>Dummy_variables!U240</f>
        <v>0</v>
      </c>
      <c r="M240">
        <v>202</v>
      </c>
      <c r="N240">
        <v>692203.02066268248</v>
      </c>
      <c r="O240">
        <v>95512.489337317529</v>
      </c>
    </row>
    <row r="241" spans="1:15" ht="14.45">
      <c r="A241" s="3">
        <v>737070.18</v>
      </c>
      <c r="B241" s="3">
        <v>26248.1</v>
      </c>
      <c r="C241" s="3">
        <v>9314</v>
      </c>
      <c r="D241" s="3">
        <v>0.186</v>
      </c>
      <c r="E241" s="3">
        <v>83.7</v>
      </c>
      <c r="F241" s="3">
        <f>Cleaned_data!O241</f>
        <v>3.3</v>
      </c>
      <c r="G241" s="3">
        <v>21</v>
      </c>
      <c r="H241" s="3">
        <v>0</v>
      </c>
      <c r="I241" s="3">
        <f>Dummy_variables!S241</f>
        <v>0</v>
      </c>
      <c r="J241" s="3">
        <f>Dummy_variables!T241</f>
        <v>1</v>
      </c>
      <c r="K241" s="3">
        <f>Dummy_variables!U241</f>
        <v>0</v>
      </c>
      <c r="M241">
        <v>203</v>
      </c>
      <c r="N241">
        <v>675046.18409544509</v>
      </c>
      <c r="O241">
        <v>-67961.264095445047</v>
      </c>
    </row>
    <row r="242" spans="1:15" ht="14.45">
      <c r="A242" s="3">
        <v>776992.93</v>
      </c>
      <c r="B242" s="3">
        <v>69900.12</v>
      </c>
      <c r="C242" s="3">
        <v>8055</v>
      </c>
      <c r="D242" s="3">
        <v>0.28100000000000003</v>
      </c>
      <c r="E242" s="3">
        <v>85.6</v>
      </c>
      <c r="F242" s="3">
        <f>Cleaned_data!O242</f>
        <v>2.9</v>
      </c>
      <c r="G242" s="3">
        <v>22</v>
      </c>
      <c r="H242" s="3">
        <v>1</v>
      </c>
      <c r="I242" s="3">
        <f>Dummy_variables!S242</f>
        <v>0</v>
      </c>
      <c r="J242" s="3">
        <f>Dummy_variables!T242</f>
        <v>0</v>
      </c>
      <c r="K242" s="3">
        <f>Dummy_variables!U242</f>
        <v>0</v>
      </c>
      <c r="M242">
        <v>204</v>
      </c>
      <c r="N242">
        <v>678497.05350730591</v>
      </c>
      <c r="O242">
        <v>-27701.563507305924</v>
      </c>
    </row>
    <row r="243" spans="1:15" ht="14.45">
      <c r="A243" s="3">
        <v>676337.41</v>
      </c>
      <c r="B243" s="3">
        <v>51781.599999999999</v>
      </c>
      <c r="C243" s="3">
        <v>5648</v>
      </c>
      <c r="D243" s="3">
        <v>5.8999999999999997E-2</v>
      </c>
      <c r="E243" s="3">
        <v>85.5</v>
      </c>
      <c r="F243" s="3">
        <f>Cleaned_data!O243</f>
        <v>3.7</v>
      </c>
      <c r="G243" s="3">
        <v>13</v>
      </c>
      <c r="H243" s="3">
        <v>0</v>
      </c>
      <c r="I243" s="3">
        <f>Dummy_variables!S243</f>
        <v>0</v>
      </c>
      <c r="J243" s="3">
        <f>Dummy_variables!T243</f>
        <v>0</v>
      </c>
      <c r="K243" s="3">
        <f>Dummy_variables!U243</f>
        <v>0</v>
      </c>
      <c r="M243">
        <v>205</v>
      </c>
      <c r="N243">
        <v>857088.87176485616</v>
      </c>
      <c r="O243">
        <v>-32028.351764856139</v>
      </c>
    </row>
    <row r="244" spans="1:15" ht="14.45">
      <c r="A244" s="3">
        <v>828219.67</v>
      </c>
      <c r="B244" s="3">
        <v>70799.64</v>
      </c>
      <c r="C244" s="3">
        <v>10076</v>
      </c>
      <c r="D244" s="3">
        <v>0.152</v>
      </c>
      <c r="E244" s="3">
        <v>84.8</v>
      </c>
      <c r="F244" s="3">
        <f>Cleaned_data!O244</f>
        <v>3.5</v>
      </c>
      <c r="G244" s="3">
        <v>24</v>
      </c>
      <c r="H244" s="3">
        <v>0</v>
      </c>
      <c r="I244" s="3">
        <f>Dummy_variables!S244</f>
        <v>0</v>
      </c>
      <c r="J244" s="3">
        <f>Dummy_variables!T244</f>
        <v>0</v>
      </c>
      <c r="K244" s="3">
        <f>Dummy_variables!U244</f>
        <v>0</v>
      </c>
      <c r="M244">
        <v>206</v>
      </c>
      <c r="N244">
        <v>749269.52464546275</v>
      </c>
      <c r="O244">
        <v>46194.945354537223</v>
      </c>
    </row>
    <row r="245" spans="1:15" ht="14.45">
      <c r="A245" s="3">
        <v>763159.92</v>
      </c>
      <c r="B245" s="3">
        <v>53546.34</v>
      </c>
      <c r="C245" s="3">
        <v>8004</v>
      </c>
      <c r="D245" s="3">
        <v>0</v>
      </c>
      <c r="E245" s="3">
        <v>95.2</v>
      </c>
      <c r="F245" s="3">
        <f>Cleaned_data!O245</f>
        <v>3</v>
      </c>
      <c r="G245" s="3">
        <v>21</v>
      </c>
      <c r="H245" s="3">
        <v>0</v>
      </c>
      <c r="I245" s="3">
        <f>Dummy_variables!S245</f>
        <v>0</v>
      </c>
      <c r="J245" s="3">
        <f>Dummy_variables!T245</f>
        <v>0</v>
      </c>
      <c r="K245" s="3">
        <f>Dummy_variables!U245</f>
        <v>0</v>
      </c>
      <c r="M245">
        <v>207</v>
      </c>
      <c r="N245">
        <v>732410.0628481122</v>
      </c>
      <c r="O245">
        <v>-60541.472848112229</v>
      </c>
    </row>
    <row r="246" spans="1:15" ht="14.45">
      <c r="A246" s="3">
        <v>802001.68</v>
      </c>
      <c r="B246" s="3">
        <v>76942.2</v>
      </c>
      <c r="C246" s="3">
        <v>8934</v>
      </c>
      <c r="D246" s="3">
        <v>8.4000000000000005E-2</v>
      </c>
      <c r="E246" s="3">
        <v>91</v>
      </c>
      <c r="F246" s="3">
        <f>Cleaned_data!O246</f>
        <v>3.2</v>
      </c>
      <c r="G246" s="3">
        <v>20</v>
      </c>
      <c r="H246" s="3">
        <v>0</v>
      </c>
      <c r="I246" s="3">
        <f>Dummy_variables!S246</f>
        <v>1</v>
      </c>
      <c r="J246" s="3">
        <f>Dummy_variables!T246</f>
        <v>0</v>
      </c>
      <c r="K246" s="3">
        <f>Dummy_variables!U246</f>
        <v>0</v>
      </c>
      <c r="M246">
        <v>208</v>
      </c>
      <c r="N246">
        <v>758253.7529072616</v>
      </c>
      <c r="O246">
        <v>-82336.122907261597</v>
      </c>
    </row>
    <row r="247" spans="1:15" ht="14.45">
      <c r="A247" s="3">
        <v>750471.34</v>
      </c>
      <c r="B247" s="3">
        <v>48060.78</v>
      </c>
      <c r="C247" s="3">
        <v>8733</v>
      </c>
      <c r="D247" s="3">
        <v>0</v>
      </c>
      <c r="E247" s="3">
        <v>89.9</v>
      </c>
      <c r="F247" s="3">
        <f>Cleaned_data!O247</f>
        <v>3.4</v>
      </c>
      <c r="G247" s="3">
        <v>20</v>
      </c>
      <c r="H247" s="3">
        <v>0</v>
      </c>
      <c r="I247" s="3">
        <f>Dummy_variables!S247</f>
        <v>1</v>
      </c>
      <c r="J247" s="3">
        <f>Dummy_variables!T247</f>
        <v>0</v>
      </c>
      <c r="K247" s="3">
        <f>Dummy_variables!U247</f>
        <v>0</v>
      </c>
      <c r="M247">
        <v>209</v>
      </c>
      <c r="N247">
        <v>828023.2248757073</v>
      </c>
      <c r="O247">
        <v>-17576.694875707268</v>
      </c>
    </row>
    <row r="248" spans="1:15" ht="14.45">
      <c r="A248" s="3">
        <v>679230.86</v>
      </c>
      <c r="B248" s="3">
        <v>57390.04</v>
      </c>
      <c r="C248" s="3">
        <v>7374</v>
      </c>
      <c r="D248" s="3">
        <v>0.21</v>
      </c>
      <c r="E248" s="3">
        <v>91.8</v>
      </c>
      <c r="F248" s="3">
        <f>Cleaned_data!O248</f>
        <v>3.1</v>
      </c>
      <c r="G248" s="3">
        <v>21</v>
      </c>
      <c r="H248" s="3">
        <v>0</v>
      </c>
      <c r="I248" s="3">
        <f>Dummy_variables!S248</f>
        <v>1</v>
      </c>
      <c r="J248" s="3">
        <f>Dummy_variables!T248</f>
        <v>0</v>
      </c>
      <c r="K248" s="3">
        <f>Dummy_variables!U248</f>
        <v>0</v>
      </c>
      <c r="M248">
        <v>210</v>
      </c>
      <c r="N248">
        <v>757454.74006864522</v>
      </c>
      <c r="O248">
        <v>-66166.550068645272</v>
      </c>
    </row>
    <row r="249" spans="1:15" ht="14.45">
      <c r="A249" s="3">
        <v>679888.74</v>
      </c>
      <c r="B249" s="3">
        <v>21536.18</v>
      </c>
      <c r="C249" s="3">
        <v>8119</v>
      </c>
      <c r="D249" s="3">
        <v>0.22700000000000001</v>
      </c>
      <c r="E249" s="3">
        <v>90.4</v>
      </c>
      <c r="F249" s="3">
        <f>Cleaned_data!O249</f>
        <v>3.3</v>
      </c>
      <c r="G249" s="3">
        <v>20</v>
      </c>
      <c r="H249" s="3">
        <v>0</v>
      </c>
      <c r="I249" s="3">
        <f>Dummy_variables!S249</f>
        <v>1</v>
      </c>
      <c r="J249" s="3">
        <f>Dummy_variables!T249</f>
        <v>0</v>
      </c>
      <c r="K249" s="3">
        <f>Dummy_variables!U249</f>
        <v>0</v>
      </c>
      <c r="M249">
        <v>211</v>
      </c>
      <c r="N249">
        <v>993750.98122387461</v>
      </c>
      <c r="O249">
        <v>-46917.441223874572</v>
      </c>
    </row>
    <row r="250" spans="1:15" ht="14.45">
      <c r="A250" s="3">
        <v>606783.67000000004</v>
      </c>
      <c r="B250" s="3">
        <v>40923.67</v>
      </c>
      <c r="C250" s="3">
        <v>3875</v>
      </c>
      <c r="D250" s="3">
        <v>0.15</v>
      </c>
      <c r="E250" s="3">
        <v>96.1</v>
      </c>
      <c r="F250" s="3">
        <f>Cleaned_data!O250</f>
        <v>3.8</v>
      </c>
      <c r="G250" s="3">
        <v>10</v>
      </c>
      <c r="H250" s="3">
        <v>0</v>
      </c>
      <c r="I250" s="3">
        <f>Dummy_variables!S250</f>
        <v>1</v>
      </c>
      <c r="J250" s="3">
        <f>Dummy_variables!T250</f>
        <v>0</v>
      </c>
      <c r="K250" s="3">
        <f>Dummy_variables!U250</f>
        <v>0</v>
      </c>
      <c r="M250">
        <v>212</v>
      </c>
      <c r="N250">
        <v>778710.07563335961</v>
      </c>
      <c r="O250">
        <v>-16746.845633359626</v>
      </c>
    </row>
    <row r="251" spans="1:15" ht="14.45">
      <c r="A251" s="3">
        <v>642751.42000000004</v>
      </c>
      <c r="B251" s="3">
        <v>72932.55</v>
      </c>
      <c r="C251" s="3">
        <v>5765</v>
      </c>
      <c r="D251" s="3">
        <v>2.5999999999999999E-2</v>
      </c>
      <c r="E251" s="3">
        <v>81.8</v>
      </c>
      <c r="F251" s="3">
        <f>Cleaned_data!O251</f>
        <v>3.6</v>
      </c>
      <c r="G251" s="3">
        <v>17</v>
      </c>
      <c r="H251" s="3">
        <v>0</v>
      </c>
      <c r="I251" s="3">
        <f>Dummy_variables!S251</f>
        <v>1</v>
      </c>
      <c r="J251" s="3">
        <f>Dummy_variables!T251</f>
        <v>0</v>
      </c>
      <c r="K251" s="3">
        <f>Dummy_variables!U251</f>
        <v>0</v>
      </c>
      <c r="M251">
        <v>213</v>
      </c>
      <c r="N251">
        <v>770898.56360207906</v>
      </c>
      <c r="O251">
        <v>41254.036397920921</v>
      </c>
    </row>
    <row r="252" spans="1:15" ht="14.45">
      <c r="A252" s="3">
        <v>647953.78</v>
      </c>
      <c r="B252" s="3">
        <v>38361.93</v>
      </c>
      <c r="C252" s="3">
        <v>6322</v>
      </c>
      <c r="D252" s="3">
        <v>0.27300000000000002</v>
      </c>
      <c r="E252" s="3">
        <v>88.4</v>
      </c>
      <c r="F252" s="3">
        <f>Cleaned_data!O252</f>
        <v>4</v>
      </c>
      <c r="G252" s="3">
        <v>15</v>
      </c>
      <c r="H252" s="3">
        <v>0</v>
      </c>
      <c r="I252" s="3">
        <f>Dummy_variables!S252</f>
        <v>1</v>
      </c>
      <c r="J252" s="3">
        <f>Dummy_variables!T252</f>
        <v>0</v>
      </c>
      <c r="K252" s="3">
        <f>Dummy_variables!U252</f>
        <v>0</v>
      </c>
      <c r="M252">
        <v>214</v>
      </c>
      <c r="N252">
        <v>751243.5986675896</v>
      </c>
      <c r="O252">
        <v>53731.901332410402</v>
      </c>
    </row>
    <row r="253" spans="1:15" ht="14.45">
      <c r="A253" s="3">
        <v>729440.45</v>
      </c>
      <c r="B253" s="3">
        <v>97480.94</v>
      </c>
      <c r="C253" s="3">
        <v>6840</v>
      </c>
      <c r="D253" s="3">
        <v>8.6999999999999994E-2</v>
      </c>
      <c r="E253" s="3">
        <v>79.2</v>
      </c>
      <c r="F253" s="3">
        <f>Cleaned_data!O253</f>
        <v>4</v>
      </c>
      <c r="G253" s="3">
        <v>14</v>
      </c>
      <c r="H253" s="3">
        <v>0</v>
      </c>
      <c r="I253" s="3">
        <f>Dummy_variables!S253</f>
        <v>1</v>
      </c>
      <c r="J253" s="3">
        <f>Dummy_variables!T253</f>
        <v>0</v>
      </c>
      <c r="K253" s="3">
        <f>Dummy_variables!U253</f>
        <v>0</v>
      </c>
      <c r="M253">
        <v>215</v>
      </c>
      <c r="N253">
        <v>758099.43385243695</v>
      </c>
      <c r="O253">
        <v>-5777.7138524369802</v>
      </c>
    </row>
    <row r="254" spans="1:15" ht="14.45">
      <c r="A254" s="3">
        <v>764949</v>
      </c>
      <c r="B254" s="3">
        <v>81801.8</v>
      </c>
      <c r="C254" s="3">
        <v>6782</v>
      </c>
      <c r="D254" s="3">
        <v>0.05</v>
      </c>
      <c r="E254" s="3">
        <v>99</v>
      </c>
      <c r="F254" s="3">
        <f>Cleaned_data!O254</f>
        <v>3.7</v>
      </c>
      <c r="G254" s="3">
        <v>16</v>
      </c>
      <c r="H254" s="3">
        <v>0</v>
      </c>
      <c r="I254" s="3">
        <f>Dummy_variables!S254</f>
        <v>0</v>
      </c>
      <c r="J254" s="3">
        <f>Dummy_variables!T254</f>
        <v>0</v>
      </c>
      <c r="K254" s="3">
        <f>Dummy_variables!U254</f>
        <v>0</v>
      </c>
      <c r="M254">
        <v>216</v>
      </c>
      <c r="N254">
        <v>818745.12650493393</v>
      </c>
      <c r="O254">
        <v>18163.113495066063</v>
      </c>
    </row>
    <row r="255" spans="1:15" ht="14.45">
      <c r="A255" s="3">
        <v>799046.94</v>
      </c>
      <c r="B255" s="3">
        <v>63582.11</v>
      </c>
      <c r="C255" s="3">
        <v>6856</v>
      </c>
      <c r="D255" s="3">
        <v>7.3999999999999996E-2</v>
      </c>
      <c r="E255" s="3">
        <v>89.5</v>
      </c>
      <c r="F255" s="3">
        <f>Cleaned_data!O255</f>
        <v>3.2</v>
      </c>
      <c r="G255" s="3">
        <v>17</v>
      </c>
      <c r="H255" s="3">
        <v>0</v>
      </c>
      <c r="I255" s="3">
        <f>Dummy_variables!S255</f>
        <v>0</v>
      </c>
      <c r="J255" s="3">
        <f>Dummy_variables!T255</f>
        <v>0</v>
      </c>
      <c r="K255" s="3">
        <f>Dummy_variables!U255</f>
        <v>0</v>
      </c>
      <c r="M255">
        <v>217</v>
      </c>
      <c r="N255">
        <v>630594.6864692223</v>
      </c>
      <c r="O255">
        <v>43694.413530777674</v>
      </c>
    </row>
    <row r="256" spans="1:15" ht="14.45">
      <c r="A256" s="3">
        <v>720079.54</v>
      </c>
      <c r="B256" s="3">
        <v>75412.740000000005</v>
      </c>
      <c r="C256" s="3">
        <v>5641</v>
      </c>
      <c r="D256" s="3">
        <v>5.8999999999999997E-2</v>
      </c>
      <c r="E256" s="3">
        <v>87.9</v>
      </c>
      <c r="F256" s="3">
        <f>Cleaned_data!O256</f>
        <v>3.6</v>
      </c>
      <c r="G256" s="3">
        <v>13</v>
      </c>
      <c r="H256" s="3">
        <v>0</v>
      </c>
      <c r="I256" s="3">
        <f>Dummy_variables!S256</f>
        <v>0</v>
      </c>
      <c r="J256" s="3">
        <f>Dummy_variables!T256</f>
        <v>0</v>
      </c>
      <c r="K256" s="3">
        <f>Dummy_variables!U256</f>
        <v>0</v>
      </c>
      <c r="M256">
        <v>218</v>
      </c>
      <c r="N256">
        <v>629481.32258713897</v>
      </c>
      <c r="O256">
        <v>-6588.9025871389313</v>
      </c>
    </row>
    <row r="257" spans="1:15" ht="14.45">
      <c r="A257" s="3">
        <v>612390.14</v>
      </c>
      <c r="B257" s="3">
        <v>36290.080000000002</v>
      </c>
      <c r="C257" s="3">
        <v>5787</v>
      </c>
      <c r="D257" s="3">
        <v>0</v>
      </c>
      <c r="E257" s="3">
        <v>88.3</v>
      </c>
      <c r="F257" s="3">
        <f>Cleaned_data!O257</f>
        <v>4.0999999999999996</v>
      </c>
      <c r="G257" s="3">
        <v>17</v>
      </c>
      <c r="H257" s="3">
        <v>0</v>
      </c>
      <c r="I257" s="3">
        <f>Dummy_variables!S257</f>
        <v>0</v>
      </c>
      <c r="J257" s="3">
        <f>Dummy_variables!T257</f>
        <v>0</v>
      </c>
      <c r="K257" s="3">
        <f>Dummy_variables!U257</f>
        <v>0</v>
      </c>
      <c r="M257">
        <v>219</v>
      </c>
      <c r="N257">
        <v>620910.73414851713</v>
      </c>
      <c r="O257">
        <v>52437.825851482921</v>
      </c>
    </row>
    <row r="258" spans="1:15" ht="14.45">
      <c r="A258" s="3">
        <v>840108.12</v>
      </c>
      <c r="B258" s="3">
        <v>65272.58</v>
      </c>
      <c r="C258" s="3">
        <v>8165</v>
      </c>
      <c r="D258" s="3">
        <v>5.0999999999999997E-2</v>
      </c>
      <c r="E258" s="3">
        <v>87.8</v>
      </c>
      <c r="F258" s="3">
        <f>Cleaned_data!O258</f>
        <v>4.3</v>
      </c>
      <c r="G258" s="3">
        <v>19</v>
      </c>
      <c r="H258" s="3">
        <v>1</v>
      </c>
      <c r="I258" s="3">
        <f>Dummy_variables!S258</f>
        <v>0</v>
      </c>
      <c r="J258" s="3">
        <f>Dummy_variables!T258</f>
        <v>1</v>
      </c>
      <c r="K258" s="3">
        <f>Dummy_variables!U258</f>
        <v>0</v>
      </c>
      <c r="M258">
        <v>220</v>
      </c>
      <c r="N258">
        <v>593959.69154991989</v>
      </c>
      <c r="O258">
        <v>12318.608450080152</v>
      </c>
    </row>
    <row r="259" spans="1:15" ht="14.45">
      <c r="A259" s="3">
        <v>697888.09</v>
      </c>
      <c r="B259" s="3">
        <v>28670.43</v>
      </c>
      <c r="C259" s="3">
        <v>7574</v>
      </c>
      <c r="D259" s="3">
        <v>0.114</v>
      </c>
      <c r="E259" s="3">
        <v>82.7</v>
      </c>
      <c r="F259" s="3">
        <f>Cleaned_data!O259</f>
        <v>4.5999999999999996</v>
      </c>
      <c r="G259" s="3">
        <v>19</v>
      </c>
      <c r="H259" s="3">
        <v>0</v>
      </c>
      <c r="I259" s="3">
        <f>Dummy_variables!S259</f>
        <v>0</v>
      </c>
      <c r="J259" s="3">
        <f>Dummy_variables!T259</f>
        <v>1</v>
      </c>
      <c r="K259" s="3">
        <f>Dummy_variables!U259</f>
        <v>0</v>
      </c>
      <c r="M259">
        <v>221</v>
      </c>
      <c r="N259">
        <v>727042.02685598063</v>
      </c>
      <c r="O259">
        <v>-14822.216855980572</v>
      </c>
    </row>
    <row r="260" spans="1:15" ht="14.45">
      <c r="A260" s="3">
        <v>746115.59</v>
      </c>
      <c r="B260" s="3">
        <v>44189.34</v>
      </c>
      <c r="C260" s="3">
        <v>8634</v>
      </c>
      <c r="D260" s="3">
        <v>0.14299999999999999</v>
      </c>
      <c r="E260" s="3">
        <v>87.5</v>
      </c>
      <c r="F260" s="3">
        <f>Cleaned_data!O260</f>
        <v>4.4000000000000004</v>
      </c>
      <c r="G260" s="3">
        <v>19</v>
      </c>
      <c r="H260" s="3">
        <v>0</v>
      </c>
      <c r="I260" s="3">
        <f>Dummy_variables!S260</f>
        <v>0</v>
      </c>
      <c r="J260" s="3">
        <f>Dummy_variables!T260</f>
        <v>1</v>
      </c>
      <c r="K260" s="3">
        <f>Dummy_variables!U260</f>
        <v>0</v>
      </c>
      <c r="M260">
        <v>222</v>
      </c>
      <c r="N260">
        <v>679400.84481805412</v>
      </c>
      <c r="O260">
        <v>-6730.3048180540791</v>
      </c>
    </row>
    <row r="261" spans="1:15" ht="14.45">
      <c r="A261" s="3">
        <v>776110.32</v>
      </c>
      <c r="B261" s="3">
        <v>38397.82</v>
      </c>
      <c r="C261" s="3">
        <v>7836</v>
      </c>
      <c r="D261" s="3">
        <v>7.0000000000000001E-3</v>
      </c>
      <c r="E261" s="3">
        <v>92.2</v>
      </c>
      <c r="F261" s="3">
        <f>Cleaned_data!O261</f>
        <v>3.6</v>
      </c>
      <c r="G261" s="3">
        <v>21</v>
      </c>
      <c r="H261" s="3">
        <v>0</v>
      </c>
      <c r="I261" s="3">
        <f>Dummy_variables!S261</f>
        <v>0</v>
      </c>
      <c r="J261" s="3">
        <f>Dummy_variables!T261</f>
        <v>1</v>
      </c>
      <c r="K261" s="3">
        <f>Dummy_variables!U261</f>
        <v>0</v>
      </c>
      <c r="M261">
        <v>223</v>
      </c>
      <c r="N261">
        <v>739340.64319546521</v>
      </c>
      <c r="O261">
        <v>-6672.7231954651652</v>
      </c>
    </row>
    <row r="262" spans="1:15" ht="14.45">
      <c r="A262" s="3">
        <v>528852.62</v>
      </c>
      <c r="B262" s="3">
        <v>14519.37</v>
      </c>
      <c r="C262" s="3">
        <v>3047</v>
      </c>
      <c r="D262" s="3">
        <v>0.13500000000000001</v>
      </c>
      <c r="E262" s="3">
        <v>90.3</v>
      </c>
      <c r="F262" s="3">
        <f>Cleaned_data!O262</f>
        <v>4.2</v>
      </c>
      <c r="G262" s="3">
        <v>10</v>
      </c>
      <c r="H262" s="3">
        <v>0</v>
      </c>
      <c r="I262" s="3">
        <f>Dummy_variables!S262</f>
        <v>1</v>
      </c>
      <c r="J262" s="3">
        <f>Dummy_variables!T262</f>
        <v>0</v>
      </c>
      <c r="K262" s="3">
        <f>Dummy_variables!U262</f>
        <v>0</v>
      </c>
      <c r="M262">
        <v>224</v>
      </c>
      <c r="N262">
        <v>769231.42113709007</v>
      </c>
      <c r="O262">
        <v>-45700.021137090051</v>
      </c>
    </row>
    <row r="263" spans="1:15" ht="14.45">
      <c r="A263" s="3">
        <v>605751.32999999996</v>
      </c>
      <c r="B263" s="3">
        <v>43288.2</v>
      </c>
      <c r="C263" s="3">
        <v>4783</v>
      </c>
      <c r="D263" s="3">
        <v>0.16900000000000001</v>
      </c>
      <c r="E263" s="3">
        <v>87.3</v>
      </c>
      <c r="F263" s="3">
        <f>Cleaned_data!O263</f>
        <v>4.2</v>
      </c>
      <c r="G263" s="3">
        <v>13</v>
      </c>
      <c r="H263" s="3">
        <v>0</v>
      </c>
      <c r="I263" s="3">
        <f>Dummy_variables!S263</f>
        <v>1</v>
      </c>
      <c r="J263" s="3">
        <f>Dummy_variables!T263</f>
        <v>0</v>
      </c>
      <c r="K263" s="3">
        <f>Dummy_variables!U263</f>
        <v>0</v>
      </c>
      <c r="M263">
        <v>225</v>
      </c>
      <c r="N263">
        <v>622189.56499867188</v>
      </c>
      <c r="O263">
        <v>19375.035001328099</v>
      </c>
    </row>
    <row r="264" spans="1:15" ht="14.45">
      <c r="A264" s="3">
        <v>677640.65</v>
      </c>
      <c r="B264" s="3">
        <v>51450.55</v>
      </c>
      <c r="C264" s="3">
        <v>4902</v>
      </c>
      <c r="D264" s="3">
        <v>8.5999999999999993E-2</v>
      </c>
      <c r="E264" s="3">
        <v>83.7</v>
      </c>
      <c r="F264" s="3">
        <f>Cleaned_data!O264</f>
        <v>4.2</v>
      </c>
      <c r="G264" s="3">
        <v>11</v>
      </c>
      <c r="H264" s="3">
        <v>1</v>
      </c>
      <c r="I264" s="3">
        <f>Dummy_variables!S264</f>
        <v>1</v>
      </c>
      <c r="J264" s="3">
        <f>Dummy_variables!T264</f>
        <v>0</v>
      </c>
      <c r="K264" s="3">
        <f>Dummy_variables!U264</f>
        <v>0</v>
      </c>
      <c r="M264">
        <v>226</v>
      </c>
      <c r="N264">
        <v>533705.34146070725</v>
      </c>
      <c r="O264">
        <v>2840.1485392927425</v>
      </c>
    </row>
    <row r="265" spans="1:15" ht="14.45">
      <c r="A265" s="3">
        <v>636613.23</v>
      </c>
      <c r="B265" s="3">
        <v>58688.26</v>
      </c>
      <c r="C265" s="3">
        <v>4022</v>
      </c>
      <c r="D265" s="3">
        <v>0.217</v>
      </c>
      <c r="E265" s="3">
        <v>93.8</v>
      </c>
      <c r="F265" s="3">
        <f>Cleaned_data!O265</f>
        <v>3.7</v>
      </c>
      <c r="G265" s="3">
        <v>12</v>
      </c>
      <c r="H265" s="3">
        <v>0</v>
      </c>
      <c r="I265" s="3">
        <f>Dummy_variables!S265</f>
        <v>1</v>
      </c>
      <c r="J265" s="3">
        <f>Dummy_variables!T265</f>
        <v>0</v>
      </c>
      <c r="K265" s="3">
        <f>Dummy_variables!U265</f>
        <v>0</v>
      </c>
      <c r="M265">
        <v>227</v>
      </c>
      <c r="N265">
        <v>558201.39164972282</v>
      </c>
      <c r="O265">
        <v>-30519.831649722764</v>
      </c>
    </row>
    <row r="266" spans="1:15" ht="14.45">
      <c r="A266" s="3">
        <v>708985.19</v>
      </c>
      <c r="B266" s="3">
        <v>58981.91</v>
      </c>
      <c r="C266" s="3">
        <v>7324</v>
      </c>
      <c r="D266" s="3">
        <v>9.4E-2</v>
      </c>
      <c r="E266" s="3">
        <v>95.8</v>
      </c>
      <c r="F266" s="3">
        <f>Cleaned_data!O266</f>
        <v>3.5</v>
      </c>
      <c r="G266" s="3">
        <v>15</v>
      </c>
      <c r="H266" s="3">
        <v>0</v>
      </c>
      <c r="I266" s="3">
        <f>Dummy_variables!S266</f>
        <v>1</v>
      </c>
      <c r="J266" s="3">
        <f>Dummy_variables!T266</f>
        <v>0</v>
      </c>
      <c r="K266" s="3">
        <f>Dummy_variables!U266</f>
        <v>0</v>
      </c>
      <c r="M266">
        <v>228</v>
      </c>
      <c r="N266">
        <v>511039.70721514954</v>
      </c>
      <c r="O266">
        <v>18559.232784850406</v>
      </c>
    </row>
    <row r="267" spans="1:15" ht="14.45">
      <c r="A267" s="3">
        <v>767792.94</v>
      </c>
      <c r="B267" s="3">
        <v>73454.539999999994</v>
      </c>
      <c r="C267" s="3">
        <v>8129</v>
      </c>
      <c r="D267" s="3">
        <v>0.21099999999999999</v>
      </c>
      <c r="E267" s="3">
        <v>85.2</v>
      </c>
      <c r="F267" s="3">
        <f>Cleaned_data!O267</f>
        <v>3.7</v>
      </c>
      <c r="G267" s="3">
        <v>20</v>
      </c>
      <c r="H267" s="3">
        <v>0</v>
      </c>
      <c r="I267" s="3">
        <f>Dummy_variables!S267</f>
        <v>1</v>
      </c>
      <c r="J267" s="3">
        <f>Dummy_variables!T267</f>
        <v>0</v>
      </c>
      <c r="K267" s="3">
        <f>Dummy_variables!U267</f>
        <v>0</v>
      </c>
      <c r="M267">
        <v>229</v>
      </c>
      <c r="N267">
        <v>629066.98747212184</v>
      </c>
      <c r="O267">
        <v>-58103.677472121781</v>
      </c>
    </row>
    <row r="268" spans="1:15" ht="14.45">
      <c r="A268" s="3">
        <v>745580.51</v>
      </c>
      <c r="B268" s="3">
        <v>56602.39</v>
      </c>
      <c r="C268" s="3">
        <v>7969</v>
      </c>
      <c r="D268" s="3">
        <v>0.17</v>
      </c>
      <c r="E268" s="3">
        <v>88.3</v>
      </c>
      <c r="F268" s="3">
        <f>Cleaned_data!O268</f>
        <v>3.7</v>
      </c>
      <c r="G268" s="3">
        <v>21</v>
      </c>
      <c r="H268" s="3">
        <v>0</v>
      </c>
      <c r="I268" s="3">
        <f>Dummy_variables!S268</f>
        <v>1</v>
      </c>
      <c r="J268" s="3">
        <f>Dummy_variables!T268</f>
        <v>0</v>
      </c>
      <c r="K268" s="3">
        <f>Dummy_variables!U268</f>
        <v>0</v>
      </c>
      <c r="M268">
        <v>230</v>
      </c>
      <c r="N268">
        <v>829089.73890066147</v>
      </c>
      <c r="O268">
        <v>41847.661099338555</v>
      </c>
    </row>
    <row r="269" spans="1:15" ht="14.45">
      <c r="A269" s="3">
        <v>762328.31</v>
      </c>
      <c r="B269" s="3">
        <v>67722.289999999994</v>
      </c>
      <c r="C269" s="3">
        <v>7240</v>
      </c>
      <c r="D269" s="3">
        <v>2.5999999999999999E-2</v>
      </c>
      <c r="E269" s="3">
        <v>92.9</v>
      </c>
      <c r="F269" s="3">
        <f>Cleaned_data!O269</f>
        <v>3.5</v>
      </c>
      <c r="G269" s="3">
        <v>15</v>
      </c>
      <c r="H269" s="3">
        <v>0</v>
      </c>
      <c r="I269" s="3">
        <f>Dummy_variables!S269</f>
        <v>1</v>
      </c>
      <c r="J269" s="3">
        <f>Dummy_variables!T269</f>
        <v>0</v>
      </c>
      <c r="K269" s="3">
        <f>Dummy_variables!U269</f>
        <v>0</v>
      </c>
      <c r="M269">
        <v>231</v>
      </c>
      <c r="N269">
        <v>635012.54184312234</v>
      </c>
      <c r="O269">
        <v>-38043.271843122318</v>
      </c>
    </row>
    <row r="270" spans="1:15" ht="14.45">
      <c r="A270" s="3">
        <v>660633.99</v>
      </c>
      <c r="B270" s="3">
        <v>48752.92</v>
      </c>
      <c r="C270" s="3">
        <v>8052</v>
      </c>
      <c r="D270" s="3">
        <v>0.106</v>
      </c>
      <c r="E270" s="3">
        <v>94.9</v>
      </c>
      <c r="F270" s="3">
        <f>Cleaned_data!O270</f>
        <v>3.6</v>
      </c>
      <c r="G270" s="3">
        <v>16</v>
      </c>
      <c r="H270" s="3">
        <v>0</v>
      </c>
      <c r="I270" s="3">
        <f>Dummy_variables!S270</f>
        <v>0</v>
      </c>
      <c r="J270" s="3">
        <f>Dummy_variables!T270</f>
        <v>1</v>
      </c>
      <c r="K270" s="3">
        <f>Dummy_variables!U270</f>
        <v>0</v>
      </c>
      <c r="M270">
        <v>232</v>
      </c>
      <c r="N270">
        <v>627712.08703445049</v>
      </c>
      <c r="O270">
        <v>19800.762965549482</v>
      </c>
    </row>
    <row r="271" spans="1:15" ht="14.45">
      <c r="A271" s="3">
        <v>739374.56</v>
      </c>
      <c r="B271" s="3">
        <v>23914.97</v>
      </c>
      <c r="C271" s="3">
        <v>8018</v>
      </c>
      <c r="D271" s="3">
        <v>0.13900000000000001</v>
      </c>
      <c r="E271" s="3">
        <v>89</v>
      </c>
      <c r="F271" s="3">
        <f>Cleaned_data!O271</f>
        <v>3.5</v>
      </c>
      <c r="G271" s="3">
        <v>20</v>
      </c>
      <c r="H271" s="3">
        <v>0</v>
      </c>
      <c r="I271" s="3">
        <f>Dummy_variables!S271</f>
        <v>0</v>
      </c>
      <c r="J271" s="3">
        <f>Dummy_variables!T271</f>
        <v>1</v>
      </c>
      <c r="K271" s="3">
        <f>Dummy_variables!U271</f>
        <v>0</v>
      </c>
      <c r="M271">
        <v>233</v>
      </c>
      <c r="N271">
        <v>601343.12279872969</v>
      </c>
      <c r="O271">
        <v>56729.017201270326</v>
      </c>
    </row>
    <row r="272" spans="1:15" ht="14.45">
      <c r="A272" s="3">
        <v>799756.46</v>
      </c>
      <c r="B272" s="3">
        <v>61995.3</v>
      </c>
      <c r="C272" s="3">
        <v>10192</v>
      </c>
      <c r="D272" s="3">
        <v>0.19800000000000001</v>
      </c>
      <c r="E272" s="3">
        <v>87.6</v>
      </c>
      <c r="F272" s="3">
        <f>Cleaned_data!O272</f>
        <v>3.8</v>
      </c>
      <c r="G272" s="3">
        <v>21</v>
      </c>
      <c r="H272" s="3">
        <v>1</v>
      </c>
      <c r="I272" s="3">
        <f>Dummy_variables!S272</f>
        <v>0</v>
      </c>
      <c r="J272" s="3">
        <f>Dummy_variables!T272</f>
        <v>1</v>
      </c>
      <c r="K272" s="3">
        <f>Dummy_variables!U272</f>
        <v>0</v>
      </c>
      <c r="M272">
        <v>234</v>
      </c>
      <c r="N272">
        <v>637790.88733831327</v>
      </c>
      <c r="O272">
        <v>85514.222661686712</v>
      </c>
    </row>
    <row r="273" spans="1:15" ht="14.45">
      <c r="A273" s="3">
        <v>593343</v>
      </c>
      <c r="B273" s="3">
        <v>29344.93</v>
      </c>
      <c r="C273" s="3">
        <v>7446</v>
      </c>
      <c r="D273" s="3">
        <v>0.111</v>
      </c>
      <c r="E273" s="3">
        <v>86.2</v>
      </c>
      <c r="F273" s="3">
        <f>Cleaned_data!O273</f>
        <v>3.2</v>
      </c>
      <c r="G273" s="3">
        <v>15</v>
      </c>
      <c r="H273" s="3">
        <v>0</v>
      </c>
      <c r="I273" s="3">
        <f>Dummy_variables!S273</f>
        <v>0</v>
      </c>
      <c r="J273" s="3">
        <f>Dummy_variables!T273</f>
        <v>1</v>
      </c>
      <c r="K273" s="3">
        <f>Dummy_variables!U273</f>
        <v>0</v>
      </c>
      <c r="M273">
        <v>235</v>
      </c>
      <c r="N273">
        <v>627104.44518267852</v>
      </c>
      <c r="O273">
        <v>13562.084817321505</v>
      </c>
    </row>
    <row r="274" spans="1:15" ht="14.45">
      <c r="A274" s="3">
        <v>645039.97</v>
      </c>
      <c r="B274" s="3">
        <v>50532.17</v>
      </c>
      <c r="C274" s="3">
        <v>5689</v>
      </c>
      <c r="D274" s="3">
        <v>5.1999999999999998E-2</v>
      </c>
      <c r="E274" s="3">
        <v>85.6</v>
      </c>
      <c r="F274" s="3">
        <f>Cleaned_data!O274</f>
        <v>3.3</v>
      </c>
      <c r="G274" s="3">
        <v>17</v>
      </c>
      <c r="H274" s="3">
        <v>0</v>
      </c>
      <c r="I274" s="3">
        <f>Dummy_variables!S274</f>
        <v>1</v>
      </c>
      <c r="J274" s="3">
        <f>Dummy_variables!T274</f>
        <v>0</v>
      </c>
      <c r="K274" s="3">
        <f>Dummy_variables!U274</f>
        <v>0</v>
      </c>
      <c r="M274">
        <v>236</v>
      </c>
      <c r="N274">
        <v>656708.33024351601</v>
      </c>
      <c r="O274">
        <v>13921.149756483966</v>
      </c>
    </row>
    <row r="275" spans="1:15" ht="14.45">
      <c r="A275" s="3">
        <v>561597.32999999996</v>
      </c>
      <c r="B275" s="3">
        <v>17562.57</v>
      </c>
      <c r="C275" s="3">
        <v>3326</v>
      </c>
      <c r="D275" s="3">
        <v>0.153</v>
      </c>
      <c r="E275" s="3">
        <v>88.1</v>
      </c>
      <c r="F275" s="3">
        <f>Cleaned_data!O275</f>
        <v>3.1</v>
      </c>
      <c r="G275" s="3">
        <v>14</v>
      </c>
      <c r="H275" s="3">
        <v>0</v>
      </c>
      <c r="I275" s="3">
        <f>Dummy_variables!S275</f>
        <v>1</v>
      </c>
      <c r="J275" s="3">
        <f>Dummy_variables!T275</f>
        <v>0</v>
      </c>
      <c r="K275" s="3">
        <f>Dummy_variables!U275</f>
        <v>0</v>
      </c>
      <c r="M275">
        <v>237</v>
      </c>
      <c r="N275">
        <v>790752.95698409621</v>
      </c>
      <c r="O275">
        <v>-69673.60698409623</v>
      </c>
    </row>
    <row r="276" spans="1:15" ht="14.45">
      <c r="A276" s="3">
        <v>635837.74</v>
      </c>
      <c r="B276" s="3">
        <v>47648.71</v>
      </c>
      <c r="C276" s="3">
        <v>5767</v>
      </c>
      <c r="D276" s="3">
        <v>0.14099999999999999</v>
      </c>
      <c r="E276" s="3">
        <v>89.8</v>
      </c>
      <c r="F276" s="3">
        <f>Cleaned_data!O276</f>
        <v>3.1</v>
      </c>
      <c r="G276" s="3">
        <v>17</v>
      </c>
      <c r="H276" s="3">
        <v>0</v>
      </c>
      <c r="I276" s="3">
        <f>Dummy_variables!S276</f>
        <v>1</v>
      </c>
      <c r="J276" s="3">
        <f>Dummy_variables!T276</f>
        <v>0</v>
      </c>
      <c r="K276" s="3">
        <f>Dummy_variables!U276</f>
        <v>0</v>
      </c>
      <c r="M276">
        <v>238</v>
      </c>
      <c r="N276">
        <v>820313.89170599589</v>
      </c>
      <c r="O276">
        <v>-9958.8717059958726</v>
      </c>
    </row>
    <row r="277" spans="1:15" ht="14.45">
      <c r="A277" s="3">
        <v>686737.87</v>
      </c>
      <c r="B277" s="3">
        <v>38297.58</v>
      </c>
      <c r="C277" s="3">
        <v>5893</v>
      </c>
      <c r="D277" s="3">
        <v>0.247</v>
      </c>
      <c r="E277" s="3">
        <v>77.599999999999994</v>
      </c>
      <c r="F277" s="3">
        <f>Cleaned_data!O277</f>
        <v>3</v>
      </c>
      <c r="G277" s="3">
        <v>18</v>
      </c>
      <c r="H277" s="3">
        <v>0</v>
      </c>
      <c r="I277" s="3">
        <f>Dummy_variables!S277</f>
        <v>1</v>
      </c>
      <c r="J277" s="3">
        <f>Dummy_variables!T277</f>
        <v>0</v>
      </c>
      <c r="K277" s="3">
        <f>Dummy_variables!U277</f>
        <v>0</v>
      </c>
      <c r="M277">
        <v>239</v>
      </c>
      <c r="N277">
        <v>763977.6161045481</v>
      </c>
      <c r="O277">
        <v>-2058.3661045480985</v>
      </c>
    </row>
    <row r="278" spans="1:15" ht="14.45">
      <c r="A278" s="3">
        <v>673076.34</v>
      </c>
      <c r="B278" s="3">
        <v>61784.11</v>
      </c>
      <c r="C278" s="3">
        <v>8564</v>
      </c>
      <c r="D278" s="3">
        <v>0.13</v>
      </c>
      <c r="E278" s="3">
        <v>87.4</v>
      </c>
      <c r="F278" s="3">
        <f>Cleaned_data!O278</f>
        <v>3.4</v>
      </c>
      <c r="G278" s="3">
        <v>17</v>
      </c>
      <c r="H278" s="3">
        <v>1</v>
      </c>
      <c r="I278" s="3">
        <f>Dummy_variables!S278</f>
        <v>0</v>
      </c>
      <c r="J278" s="3">
        <f>Dummy_variables!T278</f>
        <v>0</v>
      </c>
      <c r="K278" s="3">
        <f>Dummy_variables!U278</f>
        <v>1</v>
      </c>
      <c r="M278">
        <v>240</v>
      </c>
      <c r="N278">
        <v>719817.38157316879</v>
      </c>
      <c r="O278">
        <v>17252.798426831258</v>
      </c>
    </row>
    <row r="279" spans="1:15" ht="14.45">
      <c r="A279" s="3">
        <v>738548.42</v>
      </c>
      <c r="B279" s="3">
        <v>36832.33</v>
      </c>
      <c r="C279" s="3">
        <v>8001</v>
      </c>
      <c r="D279" s="3">
        <v>0</v>
      </c>
      <c r="E279" s="3">
        <v>88.7</v>
      </c>
      <c r="F279" s="3">
        <f>Cleaned_data!O279</f>
        <v>4</v>
      </c>
      <c r="G279" s="3">
        <v>19</v>
      </c>
      <c r="H279" s="3">
        <v>0</v>
      </c>
      <c r="I279" s="3">
        <f>Dummy_variables!S279</f>
        <v>0</v>
      </c>
      <c r="J279" s="3">
        <f>Dummy_variables!T279</f>
        <v>0</v>
      </c>
      <c r="K279" s="3">
        <f>Dummy_variables!U279</f>
        <v>1</v>
      </c>
      <c r="M279">
        <v>241</v>
      </c>
      <c r="N279">
        <v>743357.17373098584</v>
      </c>
      <c r="O279">
        <v>33635.756269014208</v>
      </c>
    </row>
    <row r="280" spans="1:15" ht="14.45">
      <c r="A280" s="3">
        <v>756619.77</v>
      </c>
      <c r="B280" s="3">
        <v>48609.41</v>
      </c>
      <c r="C280" s="3">
        <v>9324</v>
      </c>
      <c r="D280" s="3">
        <v>0.21299999999999999</v>
      </c>
      <c r="E280" s="3">
        <v>86.5</v>
      </c>
      <c r="F280" s="3">
        <f>Cleaned_data!O280</f>
        <v>3.9</v>
      </c>
      <c r="G280" s="3">
        <v>18</v>
      </c>
      <c r="H280" s="3">
        <v>0</v>
      </c>
      <c r="I280" s="3">
        <f>Dummy_variables!S280</f>
        <v>0</v>
      </c>
      <c r="J280" s="3">
        <f>Dummy_variables!T280</f>
        <v>0</v>
      </c>
      <c r="K280" s="3">
        <f>Dummy_variables!U280</f>
        <v>1</v>
      </c>
      <c r="M280">
        <v>242</v>
      </c>
      <c r="N280">
        <v>638782.48596826312</v>
      </c>
      <c r="O280">
        <v>37554.924031736911</v>
      </c>
    </row>
    <row r="281" spans="1:15" ht="14.45">
      <c r="A281" s="3">
        <v>761122.42</v>
      </c>
      <c r="B281" s="3">
        <v>70284.06</v>
      </c>
      <c r="C281" s="3">
        <v>9109</v>
      </c>
      <c r="D281" s="3">
        <v>4.0000000000000001E-3</v>
      </c>
      <c r="E281" s="3">
        <v>87</v>
      </c>
      <c r="F281" s="3">
        <f>Cleaned_data!O281</f>
        <v>3.7</v>
      </c>
      <c r="G281" s="3">
        <v>23</v>
      </c>
      <c r="H281" s="3">
        <v>0</v>
      </c>
      <c r="I281" s="3">
        <f>Dummy_variables!S281</f>
        <v>0</v>
      </c>
      <c r="J281" s="3">
        <f>Dummy_variables!T281</f>
        <v>0</v>
      </c>
      <c r="K281" s="3">
        <f>Dummy_variables!U281</f>
        <v>1</v>
      </c>
      <c r="M281">
        <v>243</v>
      </c>
      <c r="N281">
        <v>807902.17730702297</v>
      </c>
      <c r="O281">
        <v>20317.492692977074</v>
      </c>
    </row>
    <row r="282" spans="1:15" ht="14.45">
      <c r="A282" s="3">
        <v>524899.56999999995</v>
      </c>
      <c r="B282" s="3">
        <v>45940.39</v>
      </c>
      <c r="C282" s="3">
        <v>4022</v>
      </c>
      <c r="D282" s="3">
        <v>6.9000000000000006E-2</v>
      </c>
      <c r="E282" s="3">
        <v>83</v>
      </c>
      <c r="F282" s="3">
        <f>Cleaned_data!O282</f>
        <v>3.8</v>
      </c>
      <c r="G282" s="3">
        <v>10</v>
      </c>
      <c r="H282" s="3">
        <v>1</v>
      </c>
      <c r="I282" s="3">
        <f>Dummy_variables!S282</f>
        <v>1</v>
      </c>
      <c r="J282" s="3">
        <f>Dummy_variables!T282</f>
        <v>0</v>
      </c>
      <c r="K282" s="3">
        <f>Dummy_variables!U282</f>
        <v>0</v>
      </c>
      <c r="M282">
        <v>244</v>
      </c>
      <c r="N282">
        <v>757924.33678226219</v>
      </c>
      <c r="O282">
        <v>5235.583217737847</v>
      </c>
    </row>
    <row r="283" spans="1:15" ht="14.45">
      <c r="A283" s="3">
        <v>555557.77</v>
      </c>
      <c r="B283" s="3">
        <v>34771.26</v>
      </c>
      <c r="C283" s="3">
        <v>4355</v>
      </c>
      <c r="D283" s="3">
        <v>5.0999999999999997E-2</v>
      </c>
      <c r="E283" s="3">
        <v>87.9</v>
      </c>
      <c r="F283" s="3">
        <f>Cleaned_data!O283</f>
        <v>4</v>
      </c>
      <c r="G283" s="3">
        <v>15</v>
      </c>
      <c r="H283" s="3">
        <v>0</v>
      </c>
      <c r="I283" s="3">
        <f>Dummy_variables!S283</f>
        <v>1</v>
      </c>
      <c r="J283" s="3">
        <f>Dummy_variables!T283</f>
        <v>0</v>
      </c>
      <c r="K283" s="3">
        <f>Dummy_variables!U283</f>
        <v>0</v>
      </c>
      <c r="M283">
        <v>245</v>
      </c>
      <c r="N283">
        <v>791049.38117772038</v>
      </c>
      <c r="O283">
        <v>10952.29882227967</v>
      </c>
    </row>
    <row r="284" spans="1:15" ht="14.45">
      <c r="A284" s="3">
        <v>714083.68</v>
      </c>
      <c r="B284" s="3">
        <v>66104.19</v>
      </c>
      <c r="C284" s="3">
        <v>5745</v>
      </c>
      <c r="D284" s="3">
        <v>7.0000000000000007E-2</v>
      </c>
      <c r="E284" s="3">
        <v>95.8</v>
      </c>
      <c r="F284" s="3">
        <f>Cleaned_data!O284</f>
        <v>4</v>
      </c>
      <c r="G284" s="3">
        <v>17</v>
      </c>
      <c r="H284" s="3">
        <v>0</v>
      </c>
      <c r="I284" s="3">
        <f>Dummy_variables!S284</f>
        <v>1</v>
      </c>
      <c r="J284" s="3">
        <f>Dummy_variables!T284</f>
        <v>0</v>
      </c>
      <c r="K284" s="3">
        <f>Dummy_variables!U284</f>
        <v>0</v>
      </c>
      <c r="M284">
        <v>246</v>
      </c>
      <c r="N284">
        <v>752615.91248906706</v>
      </c>
      <c r="O284">
        <v>-2144.5724890670972</v>
      </c>
    </row>
    <row r="285" spans="1:15" ht="14.45">
      <c r="A285" s="3">
        <v>497439.82</v>
      </c>
      <c r="B285" s="3">
        <v>18599.21</v>
      </c>
      <c r="C285" s="3">
        <v>3027</v>
      </c>
      <c r="D285" s="3">
        <v>0.122</v>
      </c>
      <c r="E285" s="3">
        <v>80.900000000000006</v>
      </c>
      <c r="F285" s="3">
        <f>Cleaned_data!O285</f>
        <v>4.2</v>
      </c>
      <c r="G285" s="3">
        <v>11</v>
      </c>
      <c r="H285" s="3">
        <v>0</v>
      </c>
      <c r="I285" s="3">
        <f>Dummy_variables!S285</f>
        <v>1</v>
      </c>
      <c r="J285" s="3">
        <f>Dummy_variables!T285</f>
        <v>0</v>
      </c>
      <c r="K285" s="3">
        <f>Dummy_variables!U285</f>
        <v>0</v>
      </c>
      <c r="M285">
        <v>247</v>
      </c>
      <c r="N285">
        <v>715420.18399681768</v>
      </c>
      <c r="O285">
        <v>-36189.323996817693</v>
      </c>
    </row>
    <row r="286" spans="1:15" ht="14.45">
      <c r="A286" s="3">
        <v>636775.66</v>
      </c>
      <c r="B286" s="3">
        <v>60183.06</v>
      </c>
      <c r="C286" s="3">
        <v>5562</v>
      </c>
      <c r="D286" s="3">
        <v>8.9999999999999993E-3</v>
      </c>
      <c r="E286" s="3">
        <v>86.3</v>
      </c>
      <c r="F286" s="3">
        <f>Cleaned_data!O286</f>
        <v>4.5</v>
      </c>
      <c r="G286" s="3">
        <v>13</v>
      </c>
      <c r="H286" s="3">
        <v>1</v>
      </c>
      <c r="I286" s="3">
        <f>Dummy_variables!S286</f>
        <v>0</v>
      </c>
      <c r="J286" s="3">
        <f>Dummy_variables!T286</f>
        <v>0</v>
      </c>
      <c r="K286" s="3">
        <f>Dummy_variables!U286</f>
        <v>1</v>
      </c>
      <c r="M286">
        <v>248</v>
      </c>
      <c r="N286">
        <v>688291.45884907979</v>
      </c>
      <c r="O286">
        <v>-8402.7188490797998</v>
      </c>
    </row>
    <row r="287" spans="1:15" ht="14.45">
      <c r="A287" s="3">
        <v>633009.53</v>
      </c>
      <c r="B287" s="3">
        <v>74539.14</v>
      </c>
      <c r="C287" s="3">
        <v>4487</v>
      </c>
      <c r="D287" s="3">
        <v>0.14000000000000001</v>
      </c>
      <c r="E287" s="3">
        <v>90.4</v>
      </c>
      <c r="F287" s="3">
        <f>Cleaned_data!O287</f>
        <v>4.5</v>
      </c>
      <c r="G287" s="3">
        <v>10</v>
      </c>
      <c r="H287" s="3">
        <v>0</v>
      </c>
      <c r="I287" s="3">
        <f>Dummy_variables!S287</f>
        <v>0</v>
      </c>
      <c r="J287" s="3">
        <f>Dummy_variables!T287</f>
        <v>0</v>
      </c>
      <c r="K287" s="3">
        <f>Dummy_variables!U287</f>
        <v>1</v>
      </c>
      <c r="M287">
        <v>249</v>
      </c>
      <c r="N287">
        <v>590334.65572904621</v>
      </c>
      <c r="O287">
        <v>16449.014270953834</v>
      </c>
    </row>
    <row r="288" spans="1:15" ht="14.45">
      <c r="A288" s="3">
        <v>609949</v>
      </c>
      <c r="B288" s="3">
        <v>55371.97</v>
      </c>
      <c r="C288" s="3">
        <v>4162</v>
      </c>
      <c r="D288" s="3">
        <v>0.183</v>
      </c>
      <c r="E288" s="3">
        <v>92</v>
      </c>
      <c r="F288" s="3">
        <f>Cleaned_data!O288</f>
        <v>4.2</v>
      </c>
      <c r="G288" s="3">
        <v>11</v>
      </c>
      <c r="H288" s="3">
        <v>1</v>
      </c>
      <c r="I288" s="3">
        <f>Dummy_variables!S288</f>
        <v>0</v>
      </c>
      <c r="J288" s="3">
        <f>Dummy_variables!T288</f>
        <v>0</v>
      </c>
      <c r="K288" s="3">
        <f>Dummy_variables!U288</f>
        <v>1</v>
      </c>
      <c r="M288">
        <v>250</v>
      </c>
      <c r="N288">
        <v>664371.48215851421</v>
      </c>
      <c r="O288">
        <v>-21620.062158514163</v>
      </c>
    </row>
    <row r="289" spans="1:15" ht="14.45">
      <c r="A289" s="3">
        <v>548103.69999999995</v>
      </c>
      <c r="B289" s="3">
        <v>40928.69</v>
      </c>
      <c r="C289" s="3">
        <v>4094</v>
      </c>
      <c r="D289" s="3">
        <v>0.17399999999999999</v>
      </c>
      <c r="E289" s="3">
        <v>82.4</v>
      </c>
      <c r="F289" s="3">
        <f>Cleaned_data!O289</f>
        <v>4.8</v>
      </c>
      <c r="G289" s="3">
        <v>13</v>
      </c>
      <c r="H289" s="3">
        <v>0</v>
      </c>
      <c r="I289" s="3">
        <f>Dummy_variables!S289</f>
        <v>0</v>
      </c>
      <c r="J289" s="3">
        <f>Dummy_variables!T289</f>
        <v>0</v>
      </c>
      <c r="K289" s="3">
        <f>Dummy_variables!U289</f>
        <v>1</v>
      </c>
      <c r="M289">
        <v>251</v>
      </c>
      <c r="N289">
        <v>640942.38483595534</v>
      </c>
      <c r="O289">
        <v>7011.3951640446903</v>
      </c>
    </row>
    <row r="290" spans="1:15" ht="14.45">
      <c r="A290" s="3">
        <v>729424.42</v>
      </c>
      <c r="B290" s="3">
        <v>70012.41</v>
      </c>
      <c r="C290" s="3">
        <v>8484</v>
      </c>
      <c r="D290" s="3">
        <v>0.27300000000000002</v>
      </c>
      <c r="E290" s="3">
        <v>72.900000000000006</v>
      </c>
      <c r="F290" s="3">
        <f>Cleaned_data!O290</f>
        <v>3.7</v>
      </c>
      <c r="G290" s="3">
        <v>23</v>
      </c>
      <c r="H290" s="3">
        <v>0</v>
      </c>
      <c r="I290" s="3">
        <f>Dummy_variables!S290</f>
        <v>0</v>
      </c>
      <c r="J290" s="3">
        <f>Dummy_variables!T290</f>
        <v>0</v>
      </c>
      <c r="K290" s="3">
        <f>Dummy_variables!U290</f>
        <v>1</v>
      </c>
      <c r="M290">
        <v>252</v>
      </c>
      <c r="N290">
        <v>705734.20722119592</v>
      </c>
      <c r="O290">
        <v>23706.242778804037</v>
      </c>
    </row>
    <row r="291" spans="1:15" ht="14.45">
      <c r="A291" s="3">
        <v>696261.49</v>
      </c>
      <c r="B291" s="3">
        <v>68909.259999999995</v>
      </c>
      <c r="C291" s="3">
        <v>7794</v>
      </c>
      <c r="D291" s="3">
        <v>0.28399999999999997</v>
      </c>
      <c r="E291" s="3">
        <v>89</v>
      </c>
      <c r="F291" s="3">
        <f>Cleaned_data!O291</f>
        <v>4</v>
      </c>
      <c r="G291" s="3">
        <v>22</v>
      </c>
      <c r="H291" s="3">
        <v>0</v>
      </c>
      <c r="I291" s="3">
        <f>Dummy_variables!S291</f>
        <v>0</v>
      </c>
      <c r="J291" s="3">
        <f>Dummy_variables!T291</f>
        <v>0</v>
      </c>
      <c r="K291" s="3">
        <f>Dummy_variables!U291</f>
        <v>1</v>
      </c>
      <c r="M291">
        <v>253</v>
      </c>
      <c r="N291">
        <v>753192.97201674187</v>
      </c>
      <c r="O291">
        <v>11756.027983258129</v>
      </c>
    </row>
    <row r="292" spans="1:15" ht="14.45">
      <c r="A292" s="3">
        <v>813316.71</v>
      </c>
      <c r="B292" s="3">
        <v>56737.3</v>
      </c>
      <c r="C292" s="3">
        <v>8300</v>
      </c>
      <c r="D292" s="3">
        <v>3.2000000000000001E-2</v>
      </c>
      <c r="E292" s="3">
        <v>83.2</v>
      </c>
      <c r="F292" s="3">
        <f>Cleaned_data!O292</f>
        <v>4.3</v>
      </c>
      <c r="G292" s="3">
        <v>21</v>
      </c>
      <c r="H292" s="3">
        <v>1</v>
      </c>
      <c r="I292" s="3">
        <f>Dummy_variables!S292</f>
        <v>0</v>
      </c>
      <c r="J292" s="3">
        <f>Dummy_variables!T292</f>
        <v>0</v>
      </c>
      <c r="K292" s="3">
        <f>Dummy_variables!U292</f>
        <v>1</v>
      </c>
      <c r="M292">
        <v>254</v>
      </c>
      <c r="N292">
        <v>704038.780270644</v>
      </c>
      <c r="O292">
        <v>95008.159729355946</v>
      </c>
    </row>
    <row r="293" spans="1:15" ht="14.45">
      <c r="A293" s="3">
        <v>702068.92</v>
      </c>
      <c r="B293" s="3">
        <v>54080.91</v>
      </c>
      <c r="C293" s="3">
        <v>7083</v>
      </c>
      <c r="D293" s="3">
        <v>0</v>
      </c>
      <c r="E293" s="3">
        <v>97</v>
      </c>
      <c r="F293" s="3">
        <f>Cleaned_data!O293</f>
        <v>4.0999999999999996</v>
      </c>
      <c r="G293" s="3">
        <v>15</v>
      </c>
      <c r="H293" s="3">
        <v>0</v>
      </c>
      <c r="I293" s="3">
        <f>Dummy_variables!S293</f>
        <v>0</v>
      </c>
      <c r="J293" s="3">
        <f>Dummy_variables!T293</f>
        <v>0</v>
      </c>
      <c r="K293" s="3">
        <f>Dummy_variables!U293</f>
        <v>1</v>
      </c>
      <c r="M293">
        <v>255</v>
      </c>
      <c r="N293">
        <v>672271.28761748399</v>
      </c>
      <c r="O293">
        <v>47808.252382516046</v>
      </c>
    </row>
    <row r="294" spans="1:15" ht="14.45">
      <c r="A294" s="3">
        <v>546223.69999999995</v>
      </c>
      <c r="B294" s="3">
        <v>51996.32</v>
      </c>
      <c r="C294" s="3">
        <v>3834</v>
      </c>
      <c r="D294" s="3">
        <v>9.6000000000000002E-2</v>
      </c>
      <c r="E294" s="3">
        <v>86.7</v>
      </c>
      <c r="F294" s="3">
        <f>Cleaned_data!O294</f>
        <v>4.5</v>
      </c>
      <c r="G294" s="3">
        <v>8</v>
      </c>
      <c r="H294" s="3">
        <v>0</v>
      </c>
      <c r="I294" s="3">
        <f>Dummy_variables!S294</f>
        <v>1</v>
      </c>
      <c r="J294" s="3">
        <f>Dummy_variables!T294</f>
        <v>0</v>
      </c>
      <c r="K294" s="3">
        <f>Dummy_variables!U294</f>
        <v>0</v>
      </c>
      <c r="M294">
        <v>256</v>
      </c>
      <c r="N294">
        <v>655567.88139260537</v>
      </c>
      <c r="O294">
        <v>-43177.741392605356</v>
      </c>
    </row>
    <row r="295" spans="1:15" ht="14.45">
      <c r="A295" s="3">
        <v>533121.26</v>
      </c>
      <c r="B295" s="3">
        <v>40102.879999999997</v>
      </c>
      <c r="C295" s="3">
        <v>2358</v>
      </c>
      <c r="D295" s="3">
        <v>0.11899999999999999</v>
      </c>
      <c r="E295" s="3">
        <v>88.7</v>
      </c>
      <c r="F295" s="3">
        <f>Cleaned_data!O295</f>
        <v>4.2</v>
      </c>
      <c r="G295" s="3">
        <v>9</v>
      </c>
      <c r="H295" s="3">
        <v>0</v>
      </c>
      <c r="I295" s="3">
        <f>Dummy_variables!S295</f>
        <v>1</v>
      </c>
      <c r="J295" s="3">
        <f>Dummy_variables!T295</f>
        <v>0</v>
      </c>
      <c r="K295" s="3">
        <f>Dummy_variables!U295</f>
        <v>0</v>
      </c>
      <c r="M295">
        <v>257</v>
      </c>
      <c r="N295">
        <v>775892.95559751848</v>
      </c>
      <c r="O295">
        <v>64215.164402481518</v>
      </c>
    </row>
    <row r="296" spans="1:15" ht="14.45">
      <c r="A296" s="3">
        <v>498970.32</v>
      </c>
      <c r="B296" s="3">
        <v>59825.51</v>
      </c>
      <c r="C296" s="3">
        <v>1231</v>
      </c>
      <c r="D296" s="3">
        <v>0.214</v>
      </c>
      <c r="E296" s="3">
        <v>84.8</v>
      </c>
      <c r="F296" s="3">
        <f>Cleaned_data!O296</f>
        <v>4.7</v>
      </c>
      <c r="G296" s="3">
        <v>10</v>
      </c>
      <c r="H296" s="3">
        <v>0</v>
      </c>
      <c r="I296" s="3">
        <f>Dummy_variables!S296</f>
        <v>1</v>
      </c>
      <c r="J296" s="3">
        <f>Dummy_variables!T296</f>
        <v>0</v>
      </c>
      <c r="K296" s="3">
        <f>Dummy_variables!U296</f>
        <v>0</v>
      </c>
      <c r="M296">
        <v>258</v>
      </c>
      <c r="N296">
        <v>686274.01046421693</v>
      </c>
      <c r="O296">
        <v>11614.079535783036</v>
      </c>
    </row>
    <row r="297" spans="1:15" ht="14.45">
      <c r="A297" s="3">
        <v>487738.26</v>
      </c>
      <c r="B297" s="3">
        <v>27398.28</v>
      </c>
      <c r="C297" s="3">
        <v>1723</v>
      </c>
      <c r="D297" s="3">
        <v>0.17100000000000001</v>
      </c>
      <c r="E297" s="3">
        <v>81</v>
      </c>
      <c r="F297" s="3">
        <f>Cleaned_data!O297</f>
        <v>4.5999999999999996</v>
      </c>
      <c r="G297" s="3">
        <v>9</v>
      </c>
      <c r="H297" s="3">
        <v>0</v>
      </c>
      <c r="I297" s="3">
        <f>Dummy_variables!S297</f>
        <v>1</v>
      </c>
      <c r="J297" s="3">
        <f>Dummy_variables!T297</f>
        <v>0</v>
      </c>
      <c r="K297" s="3">
        <f>Dummy_variables!U297</f>
        <v>0</v>
      </c>
      <c r="M297">
        <v>259</v>
      </c>
      <c r="N297">
        <v>744236.23135765619</v>
      </c>
      <c r="O297">
        <v>1879.358642343781</v>
      </c>
    </row>
    <row r="298" spans="1:15" ht="14.45">
      <c r="A298" s="3">
        <v>668459.37</v>
      </c>
      <c r="B298" s="3">
        <v>55599.56</v>
      </c>
      <c r="C298" s="3">
        <v>5896</v>
      </c>
      <c r="D298" s="3">
        <v>3.5999999999999997E-2</v>
      </c>
      <c r="E298" s="3">
        <v>93.1</v>
      </c>
      <c r="F298" s="3">
        <f>Cleaned_data!O298</f>
        <v>3.3</v>
      </c>
      <c r="G298" s="3">
        <v>12</v>
      </c>
      <c r="H298" s="3">
        <v>0</v>
      </c>
      <c r="I298" s="3">
        <f>Dummy_variables!S298</f>
        <v>1</v>
      </c>
      <c r="J298" s="3">
        <f>Dummy_variables!T298</f>
        <v>0</v>
      </c>
      <c r="K298" s="3">
        <f>Dummy_variables!U298</f>
        <v>0</v>
      </c>
      <c r="M298">
        <v>260</v>
      </c>
      <c r="N298">
        <v>736237.65862601507</v>
      </c>
      <c r="O298">
        <v>39872.661373984884</v>
      </c>
    </row>
    <row r="299" spans="1:15" ht="14.45">
      <c r="A299" s="3">
        <v>763162.45</v>
      </c>
      <c r="B299" s="3">
        <v>55477.61</v>
      </c>
      <c r="C299" s="3">
        <v>5903</v>
      </c>
      <c r="D299" s="3">
        <v>0.10199999999999999</v>
      </c>
      <c r="E299" s="3">
        <v>96.2</v>
      </c>
      <c r="F299" s="3">
        <f>Cleaned_data!O299</f>
        <v>3.3</v>
      </c>
      <c r="G299" s="3">
        <v>14</v>
      </c>
      <c r="H299" s="3">
        <v>0</v>
      </c>
      <c r="I299" s="3">
        <f>Dummy_variables!S299</f>
        <v>1</v>
      </c>
      <c r="J299" s="3">
        <f>Dummy_variables!T299</f>
        <v>0</v>
      </c>
      <c r="K299" s="3">
        <f>Dummy_variables!U299</f>
        <v>0</v>
      </c>
      <c r="M299">
        <v>261</v>
      </c>
      <c r="N299">
        <v>529128.58991441131</v>
      </c>
      <c r="O299">
        <v>-275.96991441131104</v>
      </c>
    </row>
    <row r="300" spans="1:15" ht="14.45">
      <c r="A300" s="3">
        <v>599017.32999999996</v>
      </c>
      <c r="B300" s="3">
        <v>46174.7</v>
      </c>
      <c r="C300" s="3">
        <v>4898</v>
      </c>
      <c r="D300" s="3">
        <v>0.114</v>
      </c>
      <c r="E300" s="3">
        <v>91.7</v>
      </c>
      <c r="F300" s="3">
        <f>Cleaned_data!O300</f>
        <v>3.1</v>
      </c>
      <c r="G300" s="3">
        <v>11</v>
      </c>
      <c r="H300" s="3">
        <v>0</v>
      </c>
      <c r="I300" s="3">
        <f>Dummy_variables!S300</f>
        <v>1</v>
      </c>
      <c r="J300" s="3">
        <f>Dummy_variables!T300</f>
        <v>0</v>
      </c>
      <c r="K300" s="3">
        <f>Dummy_variables!U300</f>
        <v>0</v>
      </c>
      <c r="M300">
        <v>262</v>
      </c>
      <c r="N300">
        <v>604077.76666152186</v>
      </c>
      <c r="O300">
        <v>1673.5633384780958</v>
      </c>
    </row>
    <row r="301" spans="1:15" ht="14.45">
      <c r="A301" s="3">
        <v>401582.58</v>
      </c>
      <c r="B301" s="3">
        <v>24362.98</v>
      </c>
      <c r="C301" s="3">
        <v>1462</v>
      </c>
      <c r="D301" s="3">
        <v>0.11700000000000001</v>
      </c>
      <c r="E301" s="3">
        <v>89.3</v>
      </c>
      <c r="F301" s="3">
        <f>Cleaned_data!O301</f>
        <v>3.2</v>
      </c>
      <c r="G301" s="3">
        <v>6</v>
      </c>
      <c r="H301" s="3">
        <v>0</v>
      </c>
      <c r="I301" s="3">
        <f>Dummy_variables!S301</f>
        <v>1</v>
      </c>
      <c r="J301" s="3">
        <f>Dummy_variables!T301</f>
        <v>0</v>
      </c>
      <c r="K301" s="3">
        <f>Dummy_variables!U301</f>
        <v>0</v>
      </c>
      <c r="M301">
        <v>263</v>
      </c>
      <c r="N301">
        <v>619165.30269554816</v>
      </c>
      <c r="O301">
        <v>58475.347304451861</v>
      </c>
    </row>
    <row r="302" spans="1:15" ht="14.45">
      <c r="A302" s="3">
        <v>703812.99</v>
      </c>
      <c r="B302" s="3">
        <v>40647.67</v>
      </c>
      <c r="C302" s="3">
        <v>8252</v>
      </c>
      <c r="D302" s="3">
        <v>0.14099999999999999</v>
      </c>
      <c r="E302" s="3">
        <v>88.2</v>
      </c>
      <c r="F302" s="3">
        <f>Cleaned_data!O302</f>
        <v>4.0999999999999996</v>
      </c>
      <c r="G302" s="3">
        <v>22</v>
      </c>
      <c r="H302" s="3">
        <v>1</v>
      </c>
      <c r="I302" s="3">
        <f>Dummy_variables!S302</f>
        <v>0</v>
      </c>
      <c r="J302" s="3">
        <f>Dummy_variables!T302</f>
        <v>1</v>
      </c>
      <c r="K302" s="3">
        <f>Dummy_variables!U302</f>
        <v>0</v>
      </c>
      <c r="M302">
        <v>264</v>
      </c>
      <c r="N302">
        <v>608040.10969001462</v>
      </c>
      <c r="O302">
        <v>28573.120309985359</v>
      </c>
    </row>
    <row r="303" spans="1:15" ht="14.45">
      <c r="A303" s="3">
        <v>724346.73</v>
      </c>
      <c r="B303" s="3">
        <v>63986.98</v>
      </c>
      <c r="C303" s="3">
        <v>7989</v>
      </c>
      <c r="D303" s="3">
        <v>7.3999999999999996E-2</v>
      </c>
      <c r="E303" s="3">
        <v>83.3</v>
      </c>
      <c r="F303" s="3">
        <f>Cleaned_data!O303</f>
        <v>3.7</v>
      </c>
      <c r="G303" s="3">
        <v>20</v>
      </c>
      <c r="H303" s="3">
        <v>0</v>
      </c>
      <c r="I303" s="3">
        <f>Dummy_variables!S303</f>
        <v>0</v>
      </c>
      <c r="J303" s="3">
        <f>Dummy_variables!T303</f>
        <v>1</v>
      </c>
      <c r="K303" s="3">
        <f>Dummy_variables!U303</f>
        <v>0</v>
      </c>
      <c r="M303">
        <v>265</v>
      </c>
      <c r="N303">
        <v>722864.00700776035</v>
      </c>
      <c r="O303">
        <v>-13878.817007760401</v>
      </c>
    </row>
    <row r="304" spans="1:15" ht="14.45">
      <c r="A304" s="3">
        <v>730890.01</v>
      </c>
      <c r="B304" s="3">
        <v>52843.75</v>
      </c>
      <c r="C304" s="3">
        <v>8268</v>
      </c>
      <c r="D304" s="3">
        <v>0.13800000000000001</v>
      </c>
      <c r="E304" s="3">
        <v>87.3</v>
      </c>
      <c r="F304" s="3">
        <f>Cleaned_data!O304</f>
        <v>4.7</v>
      </c>
      <c r="G304" s="3">
        <v>19</v>
      </c>
      <c r="H304" s="3">
        <v>1</v>
      </c>
      <c r="I304" s="3">
        <f>Dummy_variables!S304</f>
        <v>0</v>
      </c>
      <c r="J304" s="3">
        <f>Dummy_variables!T304</f>
        <v>1</v>
      </c>
      <c r="K304" s="3">
        <f>Dummy_variables!U304</f>
        <v>0</v>
      </c>
      <c r="M304">
        <v>266</v>
      </c>
      <c r="N304">
        <v>738792.10601073946</v>
      </c>
      <c r="O304">
        <v>29000.833989260485</v>
      </c>
    </row>
    <row r="305" spans="1:15" ht="14.45">
      <c r="A305" s="3">
        <v>780580.95</v>
      </c>
      <c r="B305" s="3">
        <v>31997.25</v>
      </c>
      <c r="C305" s="3">
        <v>8183</v>
      </c>
      <c r="D305" s="3">
        <v>0.19800000000000001</v>
      </c>
      <c r="E305" s="3">
        <v>93</v>
      </c>
      <c r="F305" s="3">
        <f>Cleaned_data!O305</f>
        <v>4.2</v>
      </c>
      <c r="G305" s="3">
        <v>18</v>
      </c>
      <c r="H305" s="3">
        <v>0</v>
      </c>
      <c r="I305" s="3">
        <f>Dummy_variables!S305</f>
        <v>0</v>
      </c>
      <c r="J305" s="3">
        <f>Dummy_variables!T305</f>
        <v>1</v>
      </c>
      <c r="K305" s="3">
        <f>Dummy_variables!U305</f>
        <v>0</v>
      </c>
      <c r="M305">
        <v>267</v>
      </c>
      <c r="N305">
        <v>730667.4286675934</v>
      </c>
      <c r="O305">
        <v>14913.081332406611</v>
      </c>
    </row>
    <row r="306" spans="1:15" ht="14.45">
      <c r="A306" s="3">
        <v>727957.48</v>
      </c>
      <c r="B306" s="3">
        <v>54948.02</v>
      </c>
      <c r="C306" s="3">
        <v>6534</v>
      </c>
      <c r="D306" s="3">
        <v>0.183</v>
      </c>
      <c r="E306" s="3">
        <v>94.5</v>
      </c>
      <c r="F306" s="3">
        <f>Cleaned_data!O306</f>
        <v>4</v>
      </c>
      <c r="G306" s="3">
        <v>14</v>
      </c>
      <c r="H306" s="3">
        <v>0</v>
      </c>
      <c r="I306" s="3">
        <f>Dummy_variables!S306</f>
        <v>0</v>
      </c>
      <c r="J306" s="3">
        <f>Dummy_variables!T306</f>
        <v>0</v>
      </c>
      <c r="K306" s="3">
        <f>Dummy_variables!U306</f>
        <v>1</v>
      </c>
      <c r="M306">
        <v>268</v>
      </c>
      <c r="N306">
        <v>726593.09663230262</v>
      </c>
      <c r="O306">
        <v>35735.213367697434</v>
      </c>
    </row>
    <row r="307" spans="1:15" ht="14.45">
      <c r="A307" s="3">
        <v>538376</v>
      </c>
      <c r="B307" s="3">
        <v>46146.239999999998</v>
      </c>
      <c r="C307" s="3">
        <v>5804</v>
      </c>
      <c r="D307" s="3">
        <v>4.7E-2</v>
      </c>
      <c r="E307" s="3">
        <v>86.9</v>
      </c>
      <c r="F307" s="3">
        <f>Cleaned_data!O307</f>
        <v>3.8</v>
      </c>
      <c r="G307" s="3">
        <v>16</v>
      </c>
      <c r="H307" s="3">
        <v>0</v>
      </c>
      <c r="I307" s="3">
        <f>Dummy_variables!S307</f>
        <v>0</v>
      </c>
      <c r="J307" s="3">
        <f>Dummy_variables!T307</f>
        <v>0</v>
      </c>
      <c r="K307" s="3">
        <f>Dummy_variables!U307</f>
        <v>1</v>
      </c>
      <c r="M307">
        <v>269</v>
      </c>
      <c r="N307">
        <v>734972.95914760407</v>
      </c>
      <c r="O307">
        <v>-74338.969147604075</v>
      </c>
    </row>
    <row r="308" spans="1:15" ht="14.45">
      <c r="A308" s="3">
        <v>665342.49</v>
      </c>
      <c r="B308" s="3">
        <v>22387.26</v>
      </c>
      <c r="C308" s="3">
        <v>6301</v>
      </c>
      <c r="D308" s="3">
        <v>0.14599999999999999</v>
      </c>
      <c r="E308" s="3">
        <v>85.9</v>
      </c>
      <c r="F308" s="3">
        <f>Cleaned_data!O308</f>
        <v>3.7</v>
      </c>
      <c r="G308" s="3">
        <v>14</v>
      </c>
      <c r="H308" s="3">
        <v>1</v>
      </c>
      <c r="I308" s="3">
        <f>Dummy_variables!S308</f>
        <v>0</v>
      </c>
      <c r="J308" s="3">
        <f>Dummy_variables!T308</f>
        <v>0</v>
      </c>
      <c r="K308" s="3">
        <f>Dummy_variables!U308</f>
        <v>1</v>
      </c>
      <c r="M308">
        <v>270</v>
      </c>
      <c r="N308">
        <v>700328.85919172154</v>
      </c>
      <c r="O308">
        <v>39045.700808278518</v>
      </c>
    </row>
    <row r="309" spans="1:15" ht="14.45">
      <c r="A309" s="3">
        <v>651164.18000000005</v>
      </c>
      <c r="B309" s="3">
        <v>60684.05</v>
      </c>
      <c r="C309" s="3">
        <v>6399</v>
      </c>
      <c r="D309" s="3">
        <v>7.4999999999999997E-2</v>
      </c>
      <c r="E309" s="3">
        <v>99</v>
      </c>
      <c r="F309" s="3">
        <f>Cleaned_data!O309</f>
        <v>3.5</v>
      </c>
      <c r="G309" s="3">
        <v>16</v>
      </c>
      <c r="H309" s="3">
        <v>0</v>
      </c>
      <c r="I309" s="3">
        <f>Dummy_variables!S309</f>
        <v>0</v>
      </c>
      <c r="J309" s="3">
        <f>Dummy_variables!T309</f>
        <v>0</v>
      </c>
      <c r="K309" s="3">
        <f>Dummy_variables!U309</f>
        <v>1</v>
      </c>
      <c r="M309">
        <v>271</v>
      </c>
      <c r="N309">
        <v>817272.00679312099</v>
      </c>
      <c r="O309">
        <v>-17515.54679312103</v>
      </c>
    </row>
    <row r="310" spans="1:15" ht="14.45">
      <c r="A310" s="3">
        <v>628538.30000000005</v>
      </c>
      <c r="B310" s="3">
        <v>48465.599999999999</v>
      </c>
      <c r="C310" s="3">
        <v>5759</v>
      </c>
      <c r="D310" s="3">
        <v>0.154</v>
      </c>
      <c r="E310" s="3">
        <v>87.5</v>
      </c>
      <c r="F310" s="3">
        <f>Cleaned_data!O310</f>
        <v>4</v>
      </c>
      <c r="G310" s="3">
        <v>13</v>
      </c>
      <c r="H310" s="3">
        <v>0</v>
      </c>
      <c r="I310" s="3">
        <f>Dummy_variables!S310</f>
        <v>1</v>
      </c>
      <c r="J310" s="3">
        <f>Dummy_variables!T310</f>
        <v>0</v>
      </c>
      <c r="K310" s="3">
        <f>Dummy_variables!U310</f>
        <v>0</v>
      </c>
      <c r="M310">
        <v>272</v>
      </c>
      <c r="N310">
        <v>664257.43673309253</v>
      </c>
      <c r="O310">
        <v>-70914.436733092531</v>
      </c>
    </row>
    <row r="311" spans="1:15" ht="14.45">
      <c r="A311" s="3">
        <v>536524.84</v>
      </c>
      <c r="B311" s="3">
        <v>23702.38</v>
      </c>
      <c r="C311" s="3">
        <v>5285</v>
      </c>
      <c r="D311" s="3">
        <v>0.16700000000000001</v>
      </c>
      <c r="E311" s="3">
        <v>79.7</v>
      </c>
      <c r="F311" s="3">
        <f>Cleaned_data!O311</f>
        <v>4.3</v>
      </c>
      <c r="G311" s="3">
        <v>14</v>
      </c>
      <c r="H311" s="3">
        <v>0</v>
      </c>
      <c r="I311" s="3">
        <f>Dummy_variables!S311</f>
        <v>1</v>
      </c>
      <c r="J311" s="3">
        <f>Dummy_variables!T311</f>
        <v>0</v>
      </c>
      <c r="K311" s="3">
        <f>Dummy_variables!U311</f>
        <v>0</v>
      </c>
      <c r="M311">
        <v>273</v>
      </c>
      <c r="N311">
        <v>646997.27061436395</v>
      </c>
      <c r="O311">
        <v>-1957.3006143639795</v>
      </c>
    </row>
    <row r="312" spans="1:15" ht="14.45">
      <c r="A312" s="3">
        <v>621677.30000000005</v>
      </c>
      <c r="B312" s="3">
        <v>54322.94</v>
      </c>
      <c r="C312" s="3">
        <v>5434</v>
      </c>
      <c r="D312" s="3">
        <v>0.2</v>
      </c>
      <c r="E312" s="3">
        <v>85.7</v>
      </c>
      <c r="F312" s="3">
        <f>Cleaned_data!O312</f>
        <v>4.2</v>
      </c>
      <c r="G312" s="3">
        <v>13</v>
      </c>
      <c r="H312" s="3">
        <v>0</v>
      </c>
      <c r="I312" s="3">
        <f>Dummy_variables!S312</f>
        <v>1</v>
      </c>
      <c r="J312" s="3">
        <f>Dummy_variables!T312</f>
        <v>0</v>
      </c>
      <c r="K312" s="3">
        <f>Dummy_variables!U312</f>
        <v>0</v>
      </c>
      <c r="M312">
        <v>274</v>
      </c>
      <c r="N312">
        <v>526542.41339634801</v>
      </c>
      <c r="O312">
        <v>35054.916603651945</v>
      </c>
    </row>
    <row r="313" spans="1:15" ht="14.45">
      <c r="A313" s="3">
        <v>771129.07</v>
      </c>
      <c r="B313" s="3">
        <v>86026.58</v>
      </c>
      <c r="C313" s="3">
        <v>7479</v>
      </c>
      <c r="D313" s="3">
        <v>0.14199999999999999</v>
      </c>
      <c r="E313" s="3">
        <v>89</v>
      </c>
      <c r="F313" s="3">
        <f>Cleaned_data!O313</f>
        <v>3.9</v>
      </c>
      <c r="G313" s="3">
        <v>20</v>
      </c>
      <c r="H313" s="3">
        <v>0</v>
      </c>
      <c r="I313" s="3">
        <f>Dummy_variables!S313</f>
        <v>1</v>
      </c>
      <c r="J313" s="3">
        <f>Dummy_variables!T313</f>
        <v>0</v>
      </c>
      <c r="K313" s="3">
        <f>Dummy_variables!U313</f>
        <v>0</v>
      </c>
      <c r="M313">
        <v>275</v>
      </c>
      <c r="N313">
        <v>645344.79481133725</v>
      </c>
      <c r="O313">
        <v>-9507.0548113372643</v>
      </c>
    </row>
    <row r="314" spans="1:15" ht="14.45">
      <c r="A314" s="3">
        <v>702052.47</v>
      </c>
      <c r="B314" s="3">
        <v>78967.520000000004</v>
      </c>
      <c r="C314" s="3">
        <v>6164</v>
      </c>
      <c r="D314" s="3">
        <v>2.1000000000000001E-2</v>
      </c>
      <c r="E314" s="3">
        <v>85.5</v>
      </c>
      <c r="F314" s="3">
        <f>Cleaned_data!O314</f>
        <v>3.4</v>
      </c>
      <c r="G314" s="3">
        <v>16</v>
      </c>
      <c r="H314" s="3">
        <v>0</v>
      </c>
      <c r="I314" s="3">
        <f>Dummy_variables!S314</f>
        <v>0</v>
      </c>
      <c r="J314" s="3">
        <f>Dummy_variables!T314</f>
        <v>0</v>
      </c>
      <c r="K314" s="3">
        <f>Dummy_variables!U314</f>
        <v>1</v>
      </c>
      <c r="M314">
        <v>276</v>
      </c>
      <c r="N314">
        <v>593944.38445929124</v>
      </c>
      <c r="O314">
        <v>92793.48554070876</v>
      </c>
    </row>
    <row r="315" spans="1:15" ht="14.45">
      <c r="A315" s="3">
        <v>688368.46</v>
      </c>
      <c r="B315" s="3">
        <v>46767.99</v>
      </c>
      <c r="C315" s="3">
        <v>7973</v>
      </c>
      <c r="D315" s="3">
        <v>0.183</v>
      </c>
      <c r="E315" s="3">
        <v>94.8</v>
      </c>
      <c r="F315" s="3">
        <f>Cleaned_data!O315</f>
        <v>3.9</v>
      </c>
      <c r="G315" s="3">
        <v>18</v>
      </c>
      <c r="H315" s="3">
        <v>0</v>
      </c>
      <c r="I315" s="3">
        <f>Dummy_variables!S315</f>
        <v>0</v>
      </c>
      <c r="J315" s="3">
        <f>Dummy_variables!T315</f>
        <v>0</v>
      </c>
      <c r="K315" s="3">
        <f>Dummy_variables!U315</f>
        <v>1</v>
      </c>
      <c r="M315">
        <v>277</v>
      </c>
      <c r="N315">
        <v>724209.3826933275</v>
      </c>
      <c r="O315">
        <v>-51133.04269332753</v>
      </c>
    </row>
    <row r="316" spans="1:15" ht="14.45">
      <c r="A316" s="3">
        <v>712375.77</v>
      </c>
      <c r="B316" s="3">
        <v>62507.16</v>
      </c>
      <c r="C316" s="3">
        <v>6000</v>
      </c>
      <c r="D316" s="3">
        <v>9.0999999999999998E-2</v>
      </c>
      <c r="E316" s="3">
        <v>98.2</v>
      </c>
      <c r="F316" s="3">
        <f>Cleaned_data!O316</f>
        <v>3.9</v>
      </c>
      <c r="G316" s="3">
        <v>14</v>
      </c>
      <c r="H316" s="3">
        <v>1</v>
      </c>
      <c r="I316" s="3">
        <f>Dummy_variables!S316</f>
        <v>0</v>
      </c>
      <c r="J316" s="3">
        <f>Dummy_variables!T316</f>
        <v>0</v>
      </c>
      <c r="K316" s="3">
        <f>Dummy_variables!U316</f>
        <v>1</v>
      </c>
      <c r="M316">
        <v>278</v>
      </c>
      <c r="N316">
        <v>697838.90597869025</v>
      </c>
      <c r="O316">
        <v>40709.514021309791</v>
      </c>
    </row>
    <row r="317" spans="1:15" ht="14.45">
      <c r="A317" s="3">
        <v>844710.67</v>
      </c>
      <c r="B317" s="3">
        <v>66456.28</v>
      </c>
      <c r="C317" s="3">
        <v>9967</v>
      </c>
      <c r="D317" s="3">
        <v>0.108</v>
      </c>
      <c r="E317" s="3">
        <v>94.7</v>
      </c>
      <c r="F317" s="3">
        <f>Cleaned_data!O317</f>
        <v>4.2</v>
      </c>
      <c r="G317" s="3">
        <v>20</v>
      </c>
      <c r="H317" s="3">
        <v>0</v>
      </c>
      <c r="I317" s="3">
        <f>Dummy_variables!S317</f>
        <v>0</v>
      </c>
      <c r="J317" s="3">
        <f>Dummy_variables!T317</f>
        <v>0</v>
      </c>
      <c r="K317" s="3">
        <f>Dummy_variables!U317</f>
        <v>1</v>
      </c>
      <c r="M317">
        <v>279</v>
      </c>
      <c r="N317">
        <v>721426.00394065655</v>
      </c>
      <c r="O317">
        <v>35193.76605934347</v>
      </c>
    </row>
    <row r="318" spans="1:15" ht="14.45">
      <c r="A318" s="3">
        <v>620264.19999999995</v>
      </c>
      <c r="B318" s="3">
        <v>76614.320000000007</v>
      </c>
      <c r="C318" s="3">
        <v>5639</v>
      </c>
      <c r="D318" s="3">
        <v>0.17399999999999999</v>
      </c>
      <c r="E318" s="3">
        <v>92.9</v>
      </c>
      <c r="F318" s="3">
        <f>Cleaned_data!O318</f>
        <v>4</v>
      </c>
      <c r="G318" s="3">
        <v>15</v>
      </c>
      <c r="H318" s="3">
        <v>1</v>
      </c>
      <c r="I318" s="3">
        <f>Dummy_variables!S318</f>
        <v>0</v>
      </c>
      <c r="J318" s="3">
        <f>Dummy_variables!T318</f>
        <v>0</v>
      </c>
      <c r="K318" s="3">
        <f>Dummy_variables!U318</f>
        <v>1</v>
      </c>
      <c r="M318">
        <v>280</v>
      </c>
      <c r="N318">
        <v>770932.24371980201</v>
      </c>
      <c r="O318">
        <v>-9809.8237198019633</v>
      </c>
    </row>
    <row r="319" spans="1:15" ht="14.45">
      <c r="A319" s="3">
        <v>536845.42000000004</v>
      </c>
      <c r="B319" s="3">
        <v>24088.06</v>
      </c>
      <c r="C319" s="3">
        <v>3466</v>
      </c>
      <c r="D319" s="3">
        <v>0</v>
      </c>
      <c r="E319" s="3">
        <v>88</v>
      </c>
      <c r="F319" s="3">
        <f>Cleaned_data!O319</f>
        <v>3.8</v>
      </c>
      <c r="G319" s="3">
        <v>11</v>
      </c>
      <c r="H319" s="3">
        <v>0</v>
      </c>
      <c r="I319" s="3">
        <f>Dummy_variables!S319</f>
        <v>0</v>
      </c>
      <c r="J319" s="3">
        <f>Dummy_variables!T319</f>
        <v>0</v>
      </c>
      <c r="K319" s="3">
        <f>Dummy_variables!U319</f>
        <v>1</v>
      </c>
      <c r="M319">
        <v>281</v>
      </c>
      <c r="N319">
        <v>583596.14620026038</v>
      </c>
      <c r="O319">
        <v>-58696.576200260432</v>
      </c>
    </row>
    <row r="320" spans="1:15" ht="14.45">
      <c r="A320" s="3">
        <v>726776.22</v>
      </c>
      <c r="B320" s="3">
        <v>81902.58</v>
      </c>
      <c r="C320" s="3">
        <v>7775</v>
      </c>
      <c r="D320" s="3">
        <v>0.215</v>
      </c>
      <c r="E320" s="3">
        <v>85.2</v>
      </c>
      <c r="F320" s="3">
        <f>Cleaned_data!O320</f>
        <v>4.2</v>
      </c>
      <c r="G320" s="3">
        <v>20</v>
      </c>
      <c r="H320" s="3">
        <v>1</v>
      </c>
      <c r="I320" s="3">
        <f>Dummy_variables!S320</f>
        <v>0</v>
      </c>
      <c r="J320" s="3">
        <f>Dummy_variables!T320</f>
        <v>0</v>
      </c>
      <c r="K320" s="3">
        <f>Dummy_variables!U320</f>
        <v>1</v>
      </c>
      <c r="M320">
        <v>282</v>
      </c>
      <c r="N320">
        <v>596653.043874586</v>
      </c>
      <c r="O320">
        <v>-41095.273874585982</v>
      </c>
    </row>
    <row r="321" spans="1:15" ht="14.45">
      <c r="A321" s="3">
        <v>559660.84</v>
      </c>
      <c r="B321" s="3">
        <v>40553.11</v>
      </c>
      <c r="C321" s="3">
        <v>5317</v>
      </c>
      <c r="D321" s="3">
        <v>0.16500000000000001</v>
      </c>
      <c r="E321" s="3">
        <v>84.3</v>
      </c>
      <c r="F321" s="3">
        <f>Cleaned_data!O321</f>
        <v>4.0999999999999996</v>
      </c>
      <c r="G321" s="3">
        <v>17</v>
      </c>
      <c r="H321" s="3">
        <v>0</v>
      </c>
      <c r="I321" s="3">
        <f>Dummy_variables!S321</f>
        <v>0</v>
      </c>
      <c r="J321" s="3">
        <f>Dummy_variables!T321</f>
        <v>0</v>
      </c>
      <c r="K321" s="3">
        <f>Dummy_variables!U321</f>
        <v>1</v>
      </c>
      <c r="M321">
        <v>283</v>
      </c>
      <c r="N321">
        <v>701514.54971879534</v>
      </c>
      <c r="O321">
        <v>12569.130281204707</v>
      </c>
    </row>
    <row r="322" spans="1:15">
      <c r="M322">
        <v>284</v>
      </c>
      <c r="N322">
        <v>503471.08933202492</v>
      </c>
      <c r="O322">
        <v>-6031.2693320249091</v>
      </c>
    </row>
    <row r="323" spans="1:15">
      <c r="M323">
        <v>285</v>
      </c>
      <c r="N323">
        <v>645177.92789968383</v>
      </c>
      <c r="O323">
        <v>-8402.2678996837931</v>
      </c>
    </row>
    <row r="324" spans="1:15">
      <c r="M324">
        <v>286</v>
      </c>
      <c r="N324">
        <v>616220.06485026656</v>
      </c>
      <c r="O324">
        <v>16789.465149733471</v>
      </c>
    </row>
    <row r="325" spans="1:15">
      <c r="M325">
        <v>287</v>
      </c>
      <c r="N325">
        <v>599965.57155717025</v>
      </c>
      <c r="O325">
        <v>9983.4284428297542</v>
      </c>
    </row>
    <row r="326" spans="1:15">
      <c r="M326">
        <v>288</v>
      </c>
      <c r="N326">
        <v>552033.24005276931</v>
      </c>
      <c r="O326">
        <v>-3929.5400527693564</v>
      </c>
    </row>
    <row r="327" spans="1:15">
      <c r="M327">
        <v>289</v>
      </c>
      <c r="N327">
        <v>689253.30741085205</v>
      </c>
      <c r="O327">
        <v>40171.11258914799</v>
      </c>
    </row>
    <row r="328" spans="1:15">
      <c r="M328">
        <v>290</v>
      </c>
      <c r="N328">
        <v>718900.7055014642</v>
      </c>
      <c r="O328">
        <v>-22639.215501464205</v>
      </c>
    </row>
    <row r="329" spans="1:15">
      <c r="M329">
        <v>291</v>
      </c>
      <c r="N329">
        <v>733698.78183847235</v>
      </c>
      <c r="O329">
        <v>79617.928161527612</v>
      </c>
    </row>
    <row r="330" spans="1:15">
      <c r="M330">
        <v>292</v>
      </c>
      <c r="N330">
        <v>706746.64646761317</v>
      </c>
      <c r="O330">
        <v>-4677.7264676131308</v>
      </c>
    </row>
    <row r="331" spans="1:15">
      <c r="M331">
        <v>293</v>
      </c>
      <c r="N331">
        <v>583614.4342752822</v>
      </c>
      <c r="O331">
        <v>-37390.734275282244</v>
      </c>
    </row>
    <row r="332" spans="1:15">
      <c r="M332">
        <v>294</v>
      </c>
      <c r="N332">
        <v>528031.01954107662</v>
      </c>
      <c r="O332">
        <v>5090.240458923392</v>
      </c>
    </row>
    <row r="333" spans="1:15">
      <c r="M333">
        <v>295</v>
      </c>
      <c r="N333">
        <v>509775.84755418473</v>
      </c>
      <c r="O333">
        <v>-10805.527554184722</v>
      </c>
    </row>
    <row r="334" spans="1:15">
      <c r="M334">
        <v>296</v>
      </c>
      <c r="N334">
        <v>472682.77723918296</v>
      </c>
      <c r="O334">
        <v>15055.482760817045</v>
      </c>
    </row>
    <row r="335" spans="1:15">
      <c r="M335">
        <v>297</v>
      </c>
      <c r="N335">
        <v>662827.28414403752</v>
      </c>
      <c r="O335">
        <v>5632.0858559624758</v>
      </c>
    </row>
    <row r="336" spans="1:15">
      <c r="M336">
        <v>298</v>
      </c>
      <c r="N336">
        <v>674097.92555865948</v>
      </c>
      <c r="O336">
        <v>89064.524441340473</v>
      </c>
    </row>
    <row r="337" spans="13:15">
      <c r="M337">
        <v>299</v>
      </c>
      <c r="N337">
        <v>608207.71331439551</v>
      </c>
      <c r="O337">
        <v>-9190.3833143955562</v>
      </c>
    </row>
    <row r="338" spans="13:15">
      <c r="M338">
        <v>300</v>
      </c>
      <c r="N338">
        <v>464608.84432618058</v>
      </c>
      <c r="O338">
        <v>-63026.264326180564</v>
      </c>
    </row>
    <row r="339" spans="13:15">
      <c r="M339">
        <v>301</v>
      </c>
      <c r="N339">
        <v>746839.0346373989</v>
      </c>
      <c r="O339">
        <v>-43026.044637398911</v>
      </c>
    </row>
    <row r="340" spans="13:15">
      <c r="M340">
        <v>302</v>
      </c>
      <c r="N340">
        <v>735505.24919577828</v>
      </c>
      <c r="O340">
        <v>-11158.519195778295</v>
      </c>
    </row>
    <row r="341" spans="13:15">
      <c r="M341">
        <v>303</v>
      </c>
      <c r="N341">
        <v>761419.10560997191</v>
      </c>
      <c r="O341">
        <v>-30529.095609971904</v>
      </c>
    </row>
    <row r="342" spans="13:15">
      <c r="M342">
        <v>304</v>
      </c>
      <c r="N342">
        <v>724956.7556721319</v>
      </c>
      <c r="O342">
        <v>55624.194327868056</v>
      </c>
    </row>
    <row r="343" spans="13:15">
      <c r="M343">
        <v>305</v>
      </c>
      <c r="N343">
        <v>666698.22242591111</v>
      </c>
      <c r="O343">
        <v>61259.257574088871</v>
      </c>
    </row>
    <row r="344" spans="13:15">
      <c r="M344">
        <v>306</v>
      </c>
      <c r="N344">
        <v>626174.47670177964</v>
      </c>
      <c r="O344">
        <v>-87798.47670177964</v>
      </c>
    </row>
    <row r="345" spans="13:15">
      <c r="M345">
        <v>307</v>
      </c>
      <c r="N345">
        <v>608237.67907250789</v>
      </c>
      <c r="O345">
        <v>57104.810927492101</v>
      </c>
    </row>
    <row r="346" spans="13:15">
      <c r="M346">
        <v>308</v>
      </c>
      <c r="N346">
        <v>691682.24523919006</v>
      </c>
      <c r="O346">
        <v>-40518.065239190008</v>
      </c>
    </row>
    <row r="347" spans="13:15">
      <c r="M347">
        <v>309</v>
      </c>
      <c r="N347">
        <v>641085.74538229441</v>
      </c>
      <c r="O347">
        <v>-12547.445382294361</v>
      </c>
    </row>
    <row r="348" spans="13:15">
      <c r="M348">
        <v>310</v>
      </c>
      <c r="N348">
        <v>576154.74528860697</v>
      </c>
      <c r="O348">
        <v>-39629.905288606999</v>
      </c>
    </row>
    <row r="349" spans="13:15">
      <c r="M349">
        <v>311</v>
      </c>
      <c r="N349">
        <v>627765.7689647862</v>
      </c>
      <c r="O349">
        <v>-6088.4689647861524</v>
      </c>
    </row>
    <row r="350" spans="13:15">
      <c r="M350">
        <v>312</v>
      </c>
      <c r="N350">
        <v>756004.32477437984</v>
      </c>
      <c r="O350">
        <v>15124.745225620107</v>
      </c>
    </row>
    <row r="351" spans="13:15">
      <c r="M351">
        <v>313</v>
      </c>
      <c r="N351">
        <v>662251.70757615054</v>
      </c>
      <c r="O351">
        <v>39800.762423849432</v>
      </c>
    </row>
    <row r="352" spans="13:15">
      <c r="M352">
        <v>314</v>
      </c>
      <c r="N352">
        <v>711666.70527191483</v>
      </c>
      <c r="O352">
        <v>-23298.245271914871</v>
      </c>
    </row>
    <row r="353" spans="13:15">
      <c r="M353">
        <v>315</v>
      </c>
      <c r="N353">
        <v>691482.3868697146</v>
      </c>
      <c r="O353">
        <v>20893.383130285423</v>
      </c>
    </row>
    <row r="354" spans="13:15">
      <c r="M354">
        <v>316</v>
      </c>
      <c r="N354">
        <v>803633.21133460989</v>
      </c>
      <c r="O354">
        <v>41077.45866539015</v>
      </c>
    </row>
    <row r="355" spans="13:15">
      <c r="M355">
        <v>317</v>
      </c>
      <c r="N355">
        <v>679537.56801365549</v>
      </c>
      <c r="O355">
        <v>-59273.368013655534</v>
      </c>
    </row>
    <row r="356" spans="13:15">
      <c r="M356">
        <v>318</v>
      </c>
      <c r="N356">
        <v>526300.81716611877</v>
      </c>
      <c r="O356">
        <v>10544.602833881276</v>
      </c>
    </row>
    <row r="357" spans="13:15">
      <c r="M357">
        <v>319</v>
      </c>
      <c r="N357">
        <v>736613.09083739726</v>
      </c>
      <c r="O357">
        <v>-9836.8708373972913</v>
      </c>
    </row>
    <row r="358" spans="13:15" ht="14.45" thickBot="1">
      <c r="M358" s="7">
        <v>320</v>
      </c>
      <c r="N358" s="7">
        <v>596242.14630633523</v>
      </c>
      <c r="O358" s="7">
        <v>-36581.30630633526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f672f5-03ea-408f-a5d1-867296aaf3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F331C69CDD408C183B29D3CD2888" ma:contentTypeVersion="10" ma:contentTypeDescription="Create a new document." ma:contentTypeScope="" ma:versionID="2a0bfd586a331be79c6f96ac26d3f24b">
  <xsd:schema xmlns:xsd="http://www.w3.org/2001/XMLSchema" xmlns:xs="http://www.w3.org/2001/XMLSchema" xmlns:p="http://schemas.microsoft.com/office/2006/metadata/properties" xmlns:ns3="b7f672f5-03ea-408f-a5d1-867296aaf3ff" targetNamespace="http://schemas.microsoft.com/office/2006/metadata/properties" ma:root="true" ma:fieldsID="2a4de5fe63c9175e03cf5927b9942e5c" ns3:_="">
    <xsd:import namespace="b7f672f5-03ea-408f-a5d1-867296aaf3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672f5-03ea-408f-a5d1-867296aaf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905935-797E-4362-B16A-EC102D92D836}"/>
</file>

<file path=customXml/itemProps2.xml><?xml version="1.0" encoding="utf-8"?>
<ds:datastoreItem xmlns:ds="http://schemas.openxmlformats.org/officeDocument/2006/customXml" ds:itemID="{D3C8ED1A-F191-4909-8A08-45E646DE3BAB}"/>
</file>

<file path=customXml/itemProps3.xml><?xml version="1.0" encoding="utf-8"?>
<ds:datastoreItem xmlns:ds="http://schemas.openxmlformats.org/officeDocument/2006/customXml" ds:itemID="{34BB4801-DEC3-4452-AE9E-9ED80CA265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2026-06-24T11:41:09Z</dcterms:created>
  <dcterms:modified xsi:type="dcterms:W3CDTF">2026-06-24T16:09:12Z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0x010100E888F331C69CDD408C183B29D3CD2888</vt:lpwstr>
  </property>
</Properties>
</file>